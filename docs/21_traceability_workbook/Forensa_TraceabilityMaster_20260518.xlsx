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README" sheetId="1" state="visible" r:id="rId3"/>
    <sheet name="01_Identifier_Map" sheetId="2" state="visible" r:id="rId4"/>
    <sheet name="02_BG_to_BR" sheetId="3" state="visible" r:id="rId5"/>
    <sheet name="03_BR_status" sheetId="4" state="visible" r:id="rId6"/>
    <sheet name="04_UC_status" sheetId="5" state="visible" r:id="rId7"/>
    <sheet name="05_US_status" sheetId="6" state="visible" r:id="rId8"/>
    <sheet name="06_SCR_index" sheetId="7" state="visible" r:id="rId9"/>
    <sheet name="07_API_DB_Evidence" sheetId="8" state="visible" r:id="rId10"/>
    <sheet name="08_RT_index" sheetId="9" state="visible" r:id="rId11"/>
    <sheet name="09_TEST_coverage" sheetId="10" state="visible" r:id="rId12"/>
    <sheet name="10_EVID_index" sheetId="11" state="visible" r:id="rId13"/>
    <sheet name="11_IMP_forward_queue" sheetId="12" state="visible" r:id="rId14"/>
    <sheet name="12_Risk_register" sheetId="13" state="visible" r:id="rId15"/>
    <sheet name="13_Change_log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<sst xmlns="http://schemas.openxmlformats.org/spreadsheetml/2006/main" count="1567" uniqueCount="941">
  <si>
    <t xml:space="preserve">Forensa Traceability Master — v2.0</t>
  </si>
  <si>
    <t xml:space="preserve">Pack version: v2.0 ELABORATED · 2026-05-18 05:15 BST</t>
  </si>
  <si>
    <t xml:space="preserve">Codebase: forensa/ · Doc pack: forensa/docs/</t>
  </si>
  <si>
    <t xml:space="preserve">Authoritative against HEAD CP9.51 (d7d9aaa)</t>
  </si>
  <si>
    <t xml:space="preserve">MOST IMPORTANT RULES</t>
  </si>
  <si>
    <t xml:space="preserve">Rule A.10 — open BRD + USE_CASES + TRACEABILITY_MATRIX before each CP. Pick CP by which named ID needs closing next.</t>
  </si>
  <si>
    <t xml:space="preserve">Rule A.11 — every CP commit must close ≥ 1 named ID (BR-N / US-FN / UC-N / RT-FN / SCR-FN). Commit message names IDs. LIVE doc records CP against IDs. CPs that close no named ID are labelled CPx.y-tooling and do NOT advance the scoreboard.</t>
  </si>
  <si>
    <t xml:space="preserve">Sheet index</t>
  </si>
  <si>
    <t xml:space="preserve">Sheet</t>
  </si>
  <si>
    <t xml:space="preserve">Content</t>
  </si>
  <si>
    <t xml:space="preserve">00_README</t>
  </si>
  <si>
    <t xml:space="preserve">This page</t>
  </si>
  <si>
    <t xml:space="preserve">01_Identifier_Map</t>
  </si>
  <si>
    <t xml:space="preserve">Prefix scheme — BG / BR / UC / US-F / SCR-F / API-F / DB-F / TEST-F / EVID-F / RT-F / IMP-F / EVAL-F / R-F / OPT-F / NFR / CP</t>
  </si>
  <si>
    <t xml:space="preserve">02_BG_to_BR</t>
  </si>
  <si>
    <t xml:space="preserve">Business goals + BG → BR weighted contribution matrix</t>
  </si>
  <si>
    <t xml:space="preserve">03_BR_status</t>
  </si>
  <si>
    <t xml:space="preserve">BR-01..BR-14 status board</t>
  </si>
  <si>
    <t xml:space="preserve">04_UC_status</t>
  </si>
  <si>
    <t xml:space="preserve">UC-01..UC-10 status board</t>
  </si>
  <si>
    <t xml:space="preserve">05_US_status</t>
  </si>
  <si>
    <t xml:space="preserve">US-F01..F32 user-story roll-up</t>
  </si>
  <si>
    <t xml:space="preserve">06_SCR_index</t>
  </si>
  <si>
    <t xml:space="preserve">SCR-F01..F10 console screen index</t>
  </si>
  <si>
    <t xml:space="preserve">07_API_DB_Evidence</t>
  </si>
  <si>
    <t xml:space="preserve">API → DB → Evidence map</t>
  </si>
  <si>
    <t xml:space="preserve">08_RT_index</t>
  </si>
  <si>
    <t xml:space="preserve">RT-F01..F22 — 12-column trace index</t>
  </si>
  <si>
    <t xml:space="preserve">09_TEST_coverage</t>
  </si>
  <si>
    <t xml:space="preserve">TEST-F01..F40+ coverage map</t>
  </si>
  <si>
    <t xml:space="preserve">10_EVID_index</t>
  </si>
  <si>
    <t xml:space="preserve">EVID-F01..F06 evidence artefacts</t>
  </si>
  <si>
    <t xml:space="preserve">11_IMP_forward_queue</t>
  </si>
  <si>
    <t xml:space="preserve">IMP-F* enhancements per RT</t>
  </si>
  <si>
    <t xml:space="preserve">12_Risk_register</t>
  </si>
  <si>
    <t xml:space="preserve">R-F01..F12 risk register</t>
  </si>
  <si>
    <t xml:space="preserve">13_Change_log</t>
  </si>
  <si>
    <t xml:space="preserve">Cross-doc change log</t>
  </si>
  <si>
    <t xml:space="preserve">Identifier Map — canonical · see 02_brd/BRD_IDENTIFIER_MAP.md</t>
  </si>
  <si>
    <t xml:space="preserve">Prefix</t>
  </si>
  <si>
    <t xml:space="preserve">Meaning</t>
  </si>
  <si>
    <t xml:space="preserve">Range</t>
  </si>
  <si>
    <t xml:space="preserve">Source / status</t>
  </si>
  <si>
    <t xml:space="preserve">Notes</t>
  </si>
  <si>
    <t xml:space="preserve">BG</t>
  </si>
  <si>
    <t xml:space="preserve">Business Goal</t>
  </si>
  <si>
    <t xml:space="preserve">BG-F01..F06</t>
  </si>
  <si>
    <t xml:space="preserve">NEW v2.0</t>
  </si>
  <si>
    <t xml:space="preserve">Drives BG→BR matrix</t>
  </si>
  <si>
    <t xml:space="preserve">BR</t>
  </si>
  <si>
    <t xml:space="preserve">Business Requirement</t>
  </si>
  <si>
    <t xml:space="preserve">BR-01..BR-14</t>
  </si>
  <si>
    <t xml:space="preserve">BR-01..F13 pre-existing; BR-14 NEW v2.0</t>
  </si>
  <si>
    <t xml:space="preserve">BR-14 = Operator Console Web + PWA, native deferred Phase 14+</t>
  </si>
  <si>
    <t xml:space="preserve">UC</t>
  </si>
  <si>
    <t xml:space="preserve">Use Case</t>
  </si>
  <si>
    <t xml:space="preserve">UC-01..UC-10</t>
  </si>
  <si>
    <t xml:space="preserve">UC-01..F08 pre-existing; UC-09, UC-10 NEW v2.0</t>
  </si>
  <si>
    <t xml:space="preserve">UC-09 console journey; UC-10 multi-tenant auth</t>
  </si>
  <si>
    <t xml:space="preserve">US-F</t>
  </si>
  <si>
    <t xml:space="preserve">User Story</t>
  </si>
  <si>
    <t xml:space="preserve">US-F01..F32</t>
  </si>
  <si>
    <t xml:space="preserve">NEW (numbered) in 005-01-H18 v1; extended in v2.0</t>
  </si>
  <si>
    <t xml:space="preserve">7 epics A..G</t>
  </si>
  <si>
    <t xml:space="preserve">SCR-F</t>
  </si>
  <si>
    <t xml:space="preserve">Console Screen</t>
  </si>
  <si>
    <t xml:space="preserve">SCR-F01..F10</t>
  </si>
  <si>
    <t xml:space="preserve">List-views-as-top-nav</t>
  </si>
  <si>
    <t xml:space="preserve">API-F</t>
  </si>
  <si>
    <t xml:space="preserve">Backend API endpoint</t>
  </si>
  <si>
    <t xml:space="preserve">API-F01..F15</t>
  </si>
  <si>
    <t xml:space="preserve">Existing + planned F11..F15</t>
  </si>
  <si>
    <t xml:space="preserve">Auth, tabletop, M&amp;A, metrics</t>
  </si>
  <si>
    <t xml:space="preserve">DB-F</t>
  </si>
  <si>
    <t xml:space="preserve">Database entity</t>
  </si>
  <si>
    <t xml:space="preserve">DB-F01..F08</t>
  </si>
  <si>
    <t xml:space="preserve">Derived from alembic migrations</t>
  </si>
  <si>
    <t xml:space="preserve">DB-F08 sessions planned Phase 10</t>
  </si>
  <si>
    <t xml:space="preserve">TEST-F</t>
  </si>
  <si>
    <t xml:space="preserve">Test family</t>
  </si>
  <si>
    <t xml:space="preserve">TEST-F01..F40+</t>
  </si>
  <si>
    <t xml:space="preserve">Pre-existing 38 + planned UI-driving</t>
  </si>
  <si>
    <t xml:space="preserve">TEST-F30..F40 planned CP9.52..Phase 10</t>
  </si>
  <si>
    <t xml:space="preserve">EVID-F</t>
  </si>
  <si>
    <t xml:space="preserve">Evidence artefact</t>
  </si>
  <si>
    <t xml:space="preserve">EVID-F01..F06</t>
  </si>
  <si>
    <t xml:space="preserve">Receipt, EvidencePack, AnchorEvidence, MaDiligenceExport, TabletopResult, Narrative</t>
  </si>
  <si>
    <t xml:space="preserve">RC-F</t>
  </si>
  <si>
    <t xml:space="preserve">Review Comment</t>
  </si>
  <si>
    <t xml:space="preserve">RC-F01..F30</t>
  </si>
  <si>
    <t xml:space="preserve">Derived from docs/reviews/</t>
  </si>
  <si>
    <t xml:space="preserve">Used in RT cross-refs</t>
  </si>
  <si>
    <t xml:space="preserve">IMP-F</t>
  </si>
  <si>
    <t xml:space="preserve">Forward-queue enhancement</t>
  </si>
  <si>
    <t xml:space="preserve">IMP-F01..F36+</t>
  </si>
  <si>
    <t xml:space="preserve">Pre-existing convention</t>
  </si>
  <si>
    <t xml:space="preserve">Maps 1:1 to NEW-P phase items</t>
  </si>
  <si>
    <t xml:space="preserve">EVAL-F</t>
  </si>
  <si>
    <t xml:space="preserve">AI evaluation gate</t>
  </si>
  <si>
    <t xml:space="preserve">EVAL-F01, F02</t>
  </si>
  <si>
    <t xml:space="preserve">Narrative quality + injection defence</t>
  </si>
  <si>
    <t xml:space="preserve">RT-F</t>
  </si>
  <si>
    <t xml:space="preserve">Trace Row bundle</t>
  </si>
  <si>
    <t xml:space="preserve">RT-F01..F22</t>
  </si>
  <si>
    <t xml:space="preserve">F01..F18 pre-existing; F19..F22 NEW v2.0</t>
  </si>
  <si>
    <t xml:space="preserve">12-column expansion</t>
  </si>
  <si>
    <t xml:space="preserve">OPT-F</t>
  </si>
  <si>
    <t xml:space="preserve">Competitor option</t>
  </si>
  <si>
    <t xml:space="preserve">OPT-F01..F08</t>
  </si>
  <si>
    <t xml:space="preserve">From COMPETITIVE_LANDSCAPE</t>
  </si>
  <si>
    <t xml:space="preserve">OPT-F01 = Forensa</t>
  </si>
  <si>
    <t xml:space="preserve">R-F</t>
  </si>
  <si>
    <t xml:space="preserve">Risk register entry</t>
  </si>
  <si>
    <t xml:space="preserve">R-F01..F12</t>
  </si>
  <si>
    <t xml:space="preserve">L × I scored; R-F12 = doc drift</t>
  </si>
  <si>
    <t xml:space="preserve">NFR</t>
  </si>
  <si>
    <t xml:space="preserve">Non-Functional Requirement</t>
  </si>
  <si>
    <t xml:space="preserve">NFR-01..F10</t>
  </si>
  <si>
    <t xml:space="preserve">Pre-existing; NFR-09, F10 formalised v2.0</t>
  </si>
  <si>
    <t xml:space="preserve">Accessibility + multi-tenant isolation</t>
  </si>
  <si>
    <t xml:space="preserve">CP</t>
  </si>
  <si>
    <t xml:space="preserve">Checkpoint commit</t>
  </si>
  <si>
    <t xml:space="preserve">CP1.0..CP14.x+</t>
  </si>
  <si>
    <t xml:space="preserve">Pre-existing project convention</t>
  </si>
  <si>
    <t xml:space="preserve">Rule A.11: ≥1 named ID per CP</t>
  </si>
  <si>
    <t xml:space="preserve">Business Goals + BG → BR weighted contribution</t>
  </si>
  <si>
    <t xml:space="preserve">Business Goals</t>
  </si>
  <si>
    <t xml:space="preserve">ID</t>
  </si>
  <si>
    <t xml:space="preserve">Goal</t>
  </si>
  <si>
    <t xml:space="preserve">Quantification</t>
  </si>
  <si>
    <t xml:space="preserve">Owner</t>
  </si>
  <si>
    <t xml:space="preserve">Linked BRs</t>
  </si>
  <si>
    <t xml:space="preserve">BG-F01</t>
  </si>
  <si>
    <t xml:space="preserve">Reduce regulator-inquiry response time</t>
  </si>
  <si>
    <t xml:space="preserve">-90% vs baseline</t>
  </si>
  <si>
    <t xml:space="preserve">P-COMP</t>
  </si>
  <si>
    <t xml:space="preserve">BR-01, F04, F05, F10, F11</t>
  </si>
  <si>
    <t xml:space="preserve">BG-F02</t>
  </si>
  <si>
    <t xml:space="preserve">Cryptographic chain integrity verifiable offline</t>
  </si>
  <si>
    <t xml:space="preserve">100% pack verifiability</t>
  </si>
  <si>
    <t xml:space="preserve">P-PLAT</t>
  </si>
  <si>
    <t xml:space="preserve">BR-01, F02, F06</t>
  </si>
  <si>
    <t xml:space="preserve">BG-F03</t>
  </si>
  <si>
    <t xml:space="preserve">Close EU AI Act Art 12 / DORA Art 30 gaps</t>
  </si>
  <si>
    <t xml:space="preserve">Art 12 logging + Art 18 retention compliant</t>
  </si>
  <si>
    <t xml:space="preserve">P-COUNSEL</t>
  </si>
  <si>
    <t xml:space="preserve">BR-01, F04, F05, F12</t>
  </si>
  <si>
    <t xml:space="preserve">BG-F04</t>
  </si>
  <si>
    <t xml:space="preserve">Enable non-technical operator workflows</t>
  </si>
  <si>
    <t xml:space="preserve">6 personas complete task without engineer</t>
  </si>
  <si>
    <t xml:space="preserve">Product Owner</t>
  </si>
  <si>
    <t xml:space="preserve">BR-14</t>
  </si>
  <si>
    <t xml:space="preserve">BG-F05</t>
  </si>
  <si>
    <t xml:space="preserve">Support M&amp;A diligence + legal hold export</t>
  </si>
  <si>
    <t xml:space="preserve">Diligence turnaround ≤ 4 hours</t>
  </si>
  <si>
    <t xml:space="preserve">P-ACQ + P-COUNSEL</t>
  </si>
  <si>
    <t xml:space="preserve">BR-05, F13</t>
  </si>
  <si>
    <t xml:space="preserve">BG-F06</t>
  </si>
  <si>
    <t xml:space="preserve">Demonstrate AI safety surface</t>
  </si>
  <si>
    <t xml:space="preserve">EVAL-F02 ≥ 0 leaks on N=500</t>
  </si>
  <si>
    <t xml:space="preserve">AI Lead</t>
  </si>
  <si>
    <t xml:space="preserve">BR-10, F11</t>
  </si>
  <si>
    <t xml:space="preserve">BG → BR weighted contribution matrix (cols sum to 100% per BG)</t>
  </si>
  <si>
    <t xml:space="preserve">BR-01 Tamper-evident recording</t>
  </si>
  <si>
    <t xml:space="preserve">25%</t>
  </si>
  <si>
    <t xml:space="preserve">30%</t>
  </si>
  <si>
    <t xml:space="preserve">5%</t>
  </si>
  <si>
    <t xml:space="preserve">10%</t>
  </si>
  <si>
    <t xml:space="preserve">BR-02 Multi-party identity binding</t>
  </si>
  <si>
    <t xml:space="preserve">BR-03 Reasoning capture (AER)</t>
  </si>
  <si>
    <t xml:space="preserve">15%</t>
  </si>
  <si>
    <t xml:space="preserve">BR-04 Policy snapshot binding</t>
  </si>
  <si>
    <t xml:space="preserve">20%</t>
  </si>
  <si>
    <t xml:space="preserve">BR-05 Regulator-grade export</t>
  </si>
  <si>
    <t xml:space="preserve">BR-06 Merkle ledger + RFC 3161 TSA</t>
  </si>
  <si>
    <t xml:space="preserve">BR-07 Multi-agent provenance (deferred)</t>
  </si>
  <si>
    <t xml:space="preserve">—</t>
  </si>
  <si>
    <t xml:space="preserve">BR-08 Omniverse replay (deferred)</t>
  </si>
  <si>
    <t xml:space="preserve">BR-09 AWS bulk backfill</t>
  </si>
  <si>
    <t xml:space="preserve">BR-10 Investigator narrative</t>
  </si>
  <si>
    <t xml:space="preserve">BR-11 Counterfactual narrative</t>
  </si>
  <si>
    <t xml:space="preserve">BR-12 Tabletop simulation</t>
  </si>
  <si>
    <t xml:space="preserve">BR-13 M&amp;A diligence export</t>
  </si>
  <si>
    <t xml:space="preserve">BR-14 Operator Console (Web + PWA, native deferred)</t>
  </si>
  <si>
    <t xml:space="preserve">50%</t>
  </si>
  <si>
    <t xml:space="preserve">BR-01..BR-14 status board (HEAD CP9.51)</t>
  </si>
  <si>
    <t xml:space="preserve">Title</t>
  </si>
  <si>
    <t xml:space="preserve">Status</t>
  </si>
  <si>
    <t xml:space="preserve">Closing CP / commit</t>
  </si>
  <si>
    <t xml:space="preserve">Test families</t>
  </si>
  <si>
    <t xml:space="preserve">BR-01</t>
  </si>
  <si>
    <t xml:space="preserve">Tamper-evident event recording</t>
  </si>
  <si>
    <t xml:space="preserve">IMPLEMENTED+TESTED</t>
  </si>
  <si>
    <t xml:space="preserve">Phase 1 + CP9.16/9.17/9.18</t>
  </si>
  <si>
    <t xml:space="preserve">TEST-F01..F04 + F19</t>
  </si>
  <si>
    <t xml:space="preserve">DB-level append-only triggers</t>
  </si>
  <si>
    <t xml:space="preserve">BR-02</t>
  </si>
  <si>
    <t xml:space="preserve">Multi-party identity binding</t>
  </si>
  <si>
    <t xml:space="preserve">CP9.18a/b/c (ec81920)</t>
  </si>
  <si>
    <t xml:space="preserve">TEST-F07 21 sign</t>
  </si>
  <si>
    <t xml:space="preserve">v1.2 said PARTIAL — corrected v2.0 §0.3</t>
  </si>
  <si>
    <t xml:space="preserve">BR-03</t>
  </si>
  <si>
    <t xml:space="preserve">Reasoning capture (AER)</t>
  </si>
  <si>
    <t xml:space="preserve">Phase 1</t>
  </si>
  <si>
    <t xml:space="preserve">TEST-F06 50</t>
  </si>
  <si>
    <t xml:space="preserve">Named finding RC-F14 / IMP-F14</t>
  </si>
  <si>
    <t xml:space="preserve">BR-04</t>
  </si>
  <si>
    <t xml:space="preserve">Policy snapshot at decision time</t>
  </si>
  <si>
    <t xml:space="preserve">Phase 3 + CP9.15</t>
  </si>
  <si>
    <t xml:space="preserve">TEST-F08 22 + F09 6</t>
  </si>
  <si>
    <t xml:space="preserve">Append-only triggers</t>
  </si>
  <si>
    <t xml:space="preserve">BR-05</t>
  </si>
  <si>
    <t xml:space="preserve">Regulator-grade export</t>
  </si>
  <si>
    <t xml:space="preserve">CP9.21a + CP9.21b</t>
  </si>
  <si>
    <t xml:space="preserve">TEST-F12 72</t>
  </si>
  <si>
    <t xml:space="preserve">JSON-LD + A4 PDF</t>
  </si>
  <si>
    <t xml:space="preserve">BR-06</t>
  </si>
  <si>
    <t xml:space="preserve">Merkle ledger + RFC 3161 TSA</t>
  </si>
  <si>
    <t xml:space="preserve">CP9.19 + CP9.51 (d7d9aaa)</t>
  </si>
  <si>
    <t xml:space="preserve">TEST-F10 22 + F11 25</t>
  </si>
  <si>
    <t xml:space="preserve">v1.2 said DEFERRED — corrected v2.0 §0.3</t>
  </si>
  <si>
    <t xml:space="preserve">BR-07</t>
  </si>
  <si>
    <t xml:space="preserve">Multi-agent provenance (LangGraph)</t>
  </si>
  <si>
    <t xml:space="preserve">DEFERRED Phase 12</t>
  </si>
  <si>
    <t xml:space="preserve">By design</t>
  </si>
  <si>
    <t xml:space="preserve">BR-08</t>
  </si>
  <si>
    <t xml:space="preserve">Omniverse physical replay</t>
  </si>
  <si>
    <t xml:space="preserve">DEFERRED Phase 13</t>
  </si>
  <si>
    <t xml:space="preserve">Always stretch</t>
  </si>
  <si>
    <t xml:space="preserve">BR-09</t>
  </si>
  <si>
    <t xml:space="preserve">AWS bulk backfill</t>
  </si>
  <si>
    <t xml:space="preserve">PARTIAL — in-process proven; AWS Phase 12</t>
  </si>
  <si>
    <t xml:space="preserve">CP8.2 (6452/sec)</t>
  </si>
  <si>
    <t xml:space="preserve">TEST-F05</t>
  </si>
  <si>
    <t xml:space="preserve">Kafka + S3 Phase 12</t>
  </si>
  <si>
    <t xml:space="preserve">BR-10</t>
  </si>
  <si>
    <t xml:space="preserve">Investigator narrative</t>
  </si>
  <si>
    <t xml:space="preserve">IMPLEMENTED+TESTED for API; NL UX DEFERRED Phase 13</t>
  </si>
  <si>
    <t xml:space="preserve">CP9.1 + CP9.20</t>
  </si>
  <si>
    <t xml:space="preserve">TEST-F13 19</t>
  </si>
  <si>
    <t xml:space="preserve">Live Gemini 2.5 Pro + 4-layer defence</t>
  </si>
  <si>
    <t xml:space="preserve">BR-11</t>
  </si>
  <si>
    <t xml:space="preserve">Counterfactual narrative</t>
  </si>
  <si>
    <t xml:space="preserve">CP9.1</t>
  </si>
  <si>
    <t xml:space="preserve">TEST-F13 rolled</t>
  </si>
  <si>
    <t xml:space="preserve">Semantic guardrail IMP-F11 Phase 12</t>
  </si>
  <si>
    <t xml:space="preserve">BR-12</t>
  </si>
  <si>
    <t xml:space="preserve">Tabletop simulation</t>
  </si>
  <si>
    <t xml:space="preserve">CP9.29</t>
  </si>
  <si>
    <t xml:space="preserve">TEST-F15 19</t>
  </si>
  <si>
    <t xml:space="preserve">DORA Article 30 surface</t>
  </si>
  <si>
    <t xml:space="preserve">BR-13</t>
  </si>
  <si>
    <t xml:space="preserve">M&amp;A diligence export</t>
  </si>
  <si>
    <t xml:space="preserve">CP9.28</t>
  </si>
  <si>
    <t xml:space="preserve">TEST-F16 17</t>
  </si>
  <si>
    <t xml:space="preserve">ma_root_hash composability</t>
  </si>
  <si>
    <t xml:space="preserve">Operator Console (Web + PWA, native deferred Phase 14+)</t>
  </si>
  <si>
    <t xml:space="preserve">PARTIAL — 3 screens MVP; CP9.52 closes v1.x</t>
  </si>
  <si>
    <t xml:space="preserve">CP9.52 planned</t>
  </si>
  <si>
    <t xml:space="preserve">TEST-F30..F38 planned</t>
  </si>
  <si>
    <t xml:space="preserve">Subject</t>
  </si>
  <si>
    <t xml:space="preserve">Stories</t>
  </si>
  <si>
    <t xml:space="preserve">Primary persona</t>
  </si>
  <si>
    <t xml:space="preserve">UC-01</t>
  </si>
  <si>
    <t xml:space="preserve">Regulator evidence pack (canonical demo)</t>
  </si>
  <si>
    <t xml:space="preserve">US-F07, F17, F18, F19, F20</t>
  </si>
  <si>
    <t xml:space="preserve">IMPLEMENTED+TESTED (Compliance UI PLANNED CP9.52)</t>
  </si>
  <si>
    <t xml:space="preserve">UC-02</t>
  </si>
  <si>
    <t xml:space="preserve">Customer dispute reconstruction</t>
  </si>
  <si>
    <t xml:space="preserve">US-F03, F08, F17</t>
  </si>
  <si>
    <t xml:space="preserve">UC-03</t>
  </si>
  <si>
    <t xml:space="preserve">Multi-agent chain audit</t>
  </si>
  <si>
    <t xml:space="preserve">US-F24 (deferred)</t>
  </si>
  <si>
    <t xml:space="preserve">PARTIAL (single-agent; LangGraph Phase 12)</t>
  </si>
  <si>
    <t xml:space="preserve">P-SEC</t>
  </si>
  <si>
    <t xml:space="preserve">UC-04</t>
  </si>
  <si>
    <t xml:space="preserve">Policy drift detection</t>
  </si>
  <si>
    <t xml:space="preserve">US-F11, F12</t>
  </si>
  <si>
    <t xml:space="preserve">UC-05</t>
  </si>
  <si>
    <t xml:space="preserve">Model deprecation evidence preservation</t>
  </si>
  <si>
    <t xml:space="preserve">US-F01, F17</t>
  </si>
  <si>
    <t xml:space="preserve">IMPLEMENTED+TESTED in-process; AWS DEFERRED</t>
  </si>
  <si>
    <t xml:space="preserve">P-COMP, P-PLAT</t>
  </si>
  <si>
    <t xml:space="preserve">UC-06</t>
  </si>
  <si>
    <t xml:space="preserve">Tabletop incident response (DORA Article 30)</t>
  </si>
  <si>
    <t xml:space="preserve">US-F21, F22, F23</t>
  </si>
  <si>
    <t xml:space="preserve">IMPLEMENTED+TESTED backend; UI PLANNED CP9.55</t>
  </si>
  <si>
    <t xml:space="preserve">UC-07</t>
  </si>
  <si>
    <t xml:space="preserve">M&amp;A due diligence</t>
  </si>
  <si>
    <t xml:space="preserve">US-F25, F26</t>
  </si>
  <si>
    <t xml:space="preserve">IMPLEMENTED+TESTED backend; UI PLANNED CP9.56</t>
  </si>
  <si>
    <t xml:space="preserve">P-ACQ</t>
  </si>
  <si>
    <t xml:space="preserve">UC-08</t>
  </si>
  <si>
    <t xml:space="preserve">Prompt injection investigation</t>
  </si>
  <si>
    <t xml:space="preserve">(rolled into narrative defence tests)</t>
  </si>
  <si>
    <t xml:space="preserve">UC-09</t>
  </si>
  <si>
    <t xml:space="preserve">Operator console journey (NEW v2.0)</t>
  </si>
  <si>
    <t xml:space="preserve">US-F28, F29, F30, F19</t>
  </si>
  <si>
    <t xml:space="preserve">PLANNED CP9.52</t>
  </si>
  <si>
    <t xml:space="preserve">UC-10</t>
  </si>
  <si>
    <t xml:space="preserve">Multi-tenant authenticated access (NEW v2.0)</t>
  </si>
  <si>
    <t xml:space="preserve">US-F32</t>
  </si>
  <si>
    <t xml:space="preserve">DEFERRED Phase 10 CP10.1..CP10.4</t>
  </si>
  <si>
    <t xml:space="preserve">US-F01..US-F32 user-story roll-up</t>
  </si>
  <si>
    <t xml:space="preserve">US</t>
  </si>
  <si>
    <t xml:space="preserve">Persona</t>
  </si>
  <si>
    <t xml:space="preserve">SCR</t>
  </si>
  <si>
    <t xml:space="preserve">API</t>
  </si>
  <si>
    <t xml:space="preserve">Closing CP</t>
  </si>
  <si>
    <t xml:space="preserve">US-F01</t>
  </si>
  <si>
    <t xml:space="preserve">Agent action ingested as signed Receipt</t>
  </si>
  <si>
    <t xml:space="preserve">BR-01, F02</t>
  </si>
  <si>
    <t xml:space="preserve">API-F01</t>
  </si>
  <si>
    <t xml:space="preserve">Phase 1 + CP9.18</t>
  </si>
  <si>
    <t xml:space="preserve">US-F02</t>
  </si>
  <si>
    <t xml:space="preserve">Retry-safe ingest</t>
  </si>
  <si>
    <t xml:space="preserve">BR-01 / NFR-08</t>
  </si>
  <si>
    <t xml:space="preserve">CP9.17</t>
  </si>
  <si>
    <t xml:space="preserve">US-F03</t>
  </si>
  <si>
    <t xml:space="preserve">Tenant signature verification</t>
  </si>
  <si>
    <t xml:space="preserve">P-AUD</t>
  </si>
  <si>
    <t xml:space="preserve">SCR-F03</t>
  </si>
  <si>
    <t xml:space="preserve">Phase 2</t>
  </si>
  <si>
    <t xml:space="preserve">US-F04</t>
  </si>
  <si>
    <t xml:space="preserve">Agent identity signature</t>
  </si>
  <si>
    <t xml:space="preserve">CP9.18a/b/c</t>
  </si>
  <si>
    <t xml:space="preserve">US-F05</t>
  </si>
  <si>
    <t xml:space="preserve">Reasoning capture in event</t>
  </si>
  <si>
    <t xml:space="preserve">US-F06</t>
  </si>
  <si>
    <t xml:space="preserve">OTel GenAI envelope ingest</t>
  </si>
  <si>
    <t xml:space="preserve">BR-01, F03</t>
  </si>
  <si>
    <t xml:space="preserve">IMPLEMENTED+TESTED (named finding)</t>
  </si>
  <si>
    <t xml:space="preserve">US-F07</t>
  </si>
  <si>
    <t xml:space="preserve">Receipt list view for tenant</t>
  </si>
  <si>
    <t xml:space="preserve">SCR-F02</t>
  </si>
  <si>
    <t xml:space="preserve">API-F05</t>
  </si>
  <si>
    <t xml:space="preserve">PARTIAL (full timeline CP9.52)</t>
  </si>
  <si>
    <t xml:space="preserve">Phase 4 (basic)</t>
  </si>
  <si>
    <t xml:space="preserve">US-F08</t>
  </si>
  <si>
    <t xml:space="preserve">Single-receipt detail with verification</t>
  </si>
  <si>
    <t xml:space="preserve">BR-01, F06</t>
  </si>
  <si>
    <t xml:space="preserve">API-F06</t>
  </si>
  <si>
    <t xml:space="preserve">PARTIAL (tabs CP9.52)</t>
  </si>
  <si>
    <t xml:space="preserve">US-F09</t>
  </si>
  <si>
    <t xml:space="preserve">Policy bundle snapshot at decision</t>
  </si>
  <si>
    <t xml:space="preserve">Phase 3</t>
  </si>
  <si>
    <t xml:space="preserve">US-F10</t>
  </si>
  <si>
    <t xml:space="preserve">Policy bundle approval workflow</t>
  </si>
  <si>
    <t xml:space="preserve">CP9.15</t>
  </si>
  <si>
    <t xml:space="preserve">US-F11</t>
  </si>
  <si>
    <t xml:space="preserve">Policy drift surfaced in narrative</t>
  </si>
  <si>
    <t xml:space="preserve">BR-04, F10</t>
  </si>
  <si>
    <t xml:space="preserve">SCR-F08</t>
  </si>
  <si>
    <t xml:space="preserve">API-F13</t>
  </si>
  <si>
    <t xml:space="preserve">US-F12</t>
  </si>
  <si>
    <t xml:space="preserve">Policy replay never returns live state</t>
  </si>
  <si>
    <t xml:space="preserve">US-F13</t>
  </si>
  <si>
    <t xml:space="preserve">Hash chain verifiable offline</t>
  </si>
  <si>
    <t xml:space="preserve">P-REG</t>
  </si>
  <si>
    <t xml:space="preserve">US-F14</t>
  </si>
  <si>
    <t xml:space="preserve">Daily RFC 3161 anchor against FreeTSA</t>
  </si>
  <si>
    <t xml:space="preserve">SCR-F05</t>
  </si>
  <si>
    <t xml:space="preserve">API-F08</t>
  </si>
  <si>
    <t xml:space="preserve">CP9.19</t>
  </si>
  <si>
    <t xml:space="preserve">US-F15</t>
  </si>
  <si>
    <t xml:space="preserve">Cert-chain verification of TSR</t>
  </si>
  <si>
    <t xml:space="preserve">CP9.51 (d7d9aaa)</t>
  </si>
  <si>
    <t xml:space="preserve">US-F16</t>
  </si>
  <si>
    <t xml:space="preserve">Raw TSR DER bytes downloadable</t>
  </si>
  <si>
    <t xml:space="preserve">CP9.27</t>
  </si>
  <si>
    <t xml:space="preserve">US-F17</t>
  </si>
  <si>
    <t xml:space="preserve">JSON-LD evidence pack</t>
  </si>
  <si>
    <t xml:space="preserve">SCR-F04</t>
  </si>
  <si>
    <t xml:space="preserve">API-F07</t>
  </si>
  <si>
    <t xml:space="preserve">Phase 6</t>
  </si>
  <si>
    <t xml:space="preserve">US-F18</t>
  </si>
  <si>
    <t xml:space="preserve">Regulator-grade PDF</t>
  </si>
  <si>
    <t xml:space="preserve">CP9.21a/b</t>
  </si>
  <si>
    <t xml:space="preserve">US-F19</t>
  </si>
  <si>
    <t xml:space="preserve">Evidence pack Compliance view</t>
  </si>
  <si>
    <t xml:space="preserve">BR-05, F14</t>
  </si>
  <si>
    <t xml:space="preserve">PLANNED</t>
  </si>
  <si>
    <t xml:space="preserve">CP9.52d</t>
  </si>
  <si>
    <t xml:space="preserve">US-F20</t>
  </si>
  <si>
    <t xml:space="preserve">Offline pack verification</t>
  </si>
  <si>
    <t xml:space="preserve">BR-05, F06</t>
  </si>
  <si>
    <t xml:space="preserve">US-F21</t>
  </si>
  <si>
    <t xml:space="preserve">Tabletop drill via API</t>
  </si>
  <si>
    <t xml:space="preserve">API-F11</t>
  </si>
  <si>
    <t xml:space="preserve">US-F22</t>
  </si>
  <si>
    <t xml:space="preserve">Tabletop replay window</t>
  </si>
  <si>
    <t xml:space="preserve">API-F12</t>
  </si>
  <si>
    <t xml:space="preserve">US-F23</t>
  </si>
  <si>
    <t xml:space="preserve">Tabletop UI in Console</t>
  </si>
  <si>
    <t xml:space="preserve">BR-12, F14</t>
  </si>
  <si>
    <t xml:space="preserve">SCR-F06</t>
  </si>
  <si>
    <t xml:space="preserve">PLANNED CP9.55</t>
  </si>
  <si>
    <t xml:space="preserve">US-F24</t>
  </si>
  <si>
    <t xml:space="preserve">LangGraph multi-agent capture</t>
  </si>
  <si>
    <t xml:space="preserve">US-F25</t>
  </si>
  <si>
    <t xml:space="preserve">M&amp;A diligence export bundle</t>
  </si>
  <si>
    <t xml:space="preserve">API-F09</t>
  </si>
  <si>
    <t xml:space="preserve">US-F26</t>
  </si>
  <si>
    <t xml:space="preserve">M&amp;A diligence UI in Console</t>
  </si>
  <si>
    <t xml:space="preserve">BR-13, F14</t>
  </si>
  <si>
    <t xml:space="preserve">SCR-F07</t>
  </si>
  <si>
    <t xml:space="preserve">API-F09, F10</t>
  </si>
  <si>
    <t xml:space="preserve">PLANNED CP9.56</t>
  </si>
  <si>
    <t xml:space="preserve">US-F27</t>
  </si>
  <si>
    <t xml:space="preserve">Free-text NL query in Console</t>
  </si>
  <si>
    <t xml:space="preserve">US-F28</t>
  </si>
  <si>
    <t xml:space="preserve">Persona-aware landing</t>
  </si>
  <si>
    <t xml:space="preserve">all</t>
  </si>
  <si>
    <t xml:space="preserve">SCR-F01</t>
  </si>
  <si>
    <t xml:space="preserve">PLANNED CP9.52e</t>
  </si>
  <si>
    <t xml:space="preserve">US-F29</t>
  </si>
  <si>
    <t xml:space="preserve">Enterprise timeline (list-views-as-top-nav)</t>
  </si>
  <si>
    <t xml:space="preserve">PLANNED CP9.52a/b</t>
  </si>
  <si>
    <t xml:space="preserve">US-F30</t>
  </si>
  <si>
    <t xml:space="preserve">Receipt detail tabbed view</t>
  </si>
  <si>
    <t xml:space="preserve">PLANNED CP9.52c</t>
  </si>
  <si>
    <t xml:space="preserve">US-F31</t>
  </si>
  <si>
    <t xml:space="preserve">PWA installable to home screen</t>
  </si>
  <si>
    <t xml:space="preserve">PLANNED CP9.52f</t>
  </si>
  <si>
    <t xml:space="preserve">Multi-tenant auth + tenant picker</t>
  </si>
  <si>
    <t xml:space="preserve">BR-02, F14</t>
  </si>
  <si>
    <t xml:space="preserve">SCR-F09</t>
  </si>
  <si>
    <t xml:space="preserve">API-F14</t>
  </si>
  <si>
    <t xml:space="preserve">SCR-F01..SCR-F10 Console screen index (BR-14)</t>
  </si>
  <si>
    <t xml:space="preserve">Route</t>
  </si>
  <si>
    <t xml:space="preserve">Persona landing + tenant picker</t>
  </si>
  <si>
    <t xml:space="preserve">/</t>
  </si>
  <si>
    <t xml:space="preserve">API-F05 (preview)</t>
  </si>
  <si>
    <t xml:space="preserve">Persona-aware cards</t>
  </si>
  <si>
    <t xml:space="preserve">Receipts timeline</t>
  </si>
  <si>
    <t xml:space="preserve">/receipts</t>
  </si>
  <si>
    <t xml:space="preserve">P-COMP, P-AUD, P-SEC</t>
  </si>
  <si>
    <t xml:space="preserve">PARTIAL (table exists; timeline CP9.52)</t>
  </si>
  <si>
    <t xml:space="preserve">Receipt detail with tabs</t>
  </si>
  <si>
    <t xml:space="preserve">/receipts/[id]</t>
  </si>
  <si>
    <t xml:space="preserve">P-AUD, P-SEC</t>
  </si>
  <si>
    <t xml:space="preserve">PARTIAL (page exists; tabs CP9.52)</t>
  </si>
  <si>
    <t xml:space="preserve">Summary / Proof / Raw</t>
  </si>
  <si>
    <t xml:space="preserve">Evidence pack generator + Compliance view</t>
  </si>
  <si>
    <t xml:space="preserve">/evidence</t>
  </si>
  <si>
    <t xml:space="preserve">P-COMP, P-COUNSEL</t>
  </si>
  <si>
    <t xml:space="preserve">PARTIAL (toggle CP9.52)</t>
  </si>
  <si>
    <t xml:space="preserve">Compliance default</t>
  </si>
  <si>
    <t xml:space="preserve">Anchors view</t>
  </si>
  <si>
    <t xml:space="preserve">/anchors</t>
  </si>
  <si>
    <t xml:space="preserve">P-AUD, P-PLAT</t>
  </si>
  <si>
    <t xml:space="preserve">PLANNED CP9.53</t>
  </si>
  <si>
    <t xml:space="preserve">Per-day TSR DER download</t>
  </si>
  <si>
    <t xml:space="preserve">Tabletop drill / replay UI</t>
  </si>
  <si>
    <t xml:space="preserve">/tabletop</t>
  </si>
  <si>
    <t xml:space="preserve">API-F11, F12</t>
  </si>
  <si>
    <t xml:space="preserve">M&amp;A diligence workspace</t>
  </si>
  <si>
    <t xml:space="preserve">/diligence</t>
  </si>
  <si>
    <t xml:space="preserve">P-ACQ, P-COUNSEL</t>
  </si>
  <si>
    <t xml:space="preserve">Create / list / detail / download</t>
  </si>
  <si>
    <t xml:space="preserve">Narrative viewer</t>
  </si>
  <si>
    <t xml:space="preserve">/narratives</t>
  </si>
  <si>
    <t xml:space="preserve">P-COMP, P-SEC</t>
  </si>
  <si>
    <t xml:space="preserve">PLANNED CP9.57</t>
  </si>
  <si>
    <t xml:space="preserve">Window picker + Explain CTA</t>
  </si>
  <si>
    <t xml:space="preserve">Login / auth surface</t>
  </si>
  <si>
    <t xml:space="preserve">/login</t>
  </si>
  <si>
    <t xml:space="preserve">PLANNED Phase 10 CP10.1</t>
  </si>
  <si>
    <t xml:space="preserve">SSO + bearer fallback</t>
  </si>
  <si>
    <t xml:space="preserve">SCR-F10</t>
  </si>
  <si>
    <t xml:space="preserve">Status / ops dashboard</t>
  </si>
  <si>
    <t xml:space="preserve">/status</t>
  </si>
  <si>
    <t xml:space="preserve">PLANNED CP9.58</t>
  </si>
  <si>
    <t xml:space="preserve">API-F15</t>
  </si>
  <si>
    <t xml:space="preserve">Ingest + sig latency + anchor health</t>
  </si>
  <si>
    <t xml:space="preserve">Method / Path</t>
  </si>
  <si>
    <t xml:space="preserve">Request schema</t>
  </si>
  <si>
    <t xml:space="preserve">Response</t>
  </si>
  <si>
    <t xml:space="preserve">DB writes</t>
  </si>
  <si>
    <t xml:space="preserve">Evidence emitted</t>
  </si>
  <si>
    <t xml:space="preserve">Timeout / SLO</t>
  </si>
  <si>
    <t xml:space="preserve">POST /v1/events</t>
  </si>
  <si>
    <t xml:space="preserve">Event</t>
  </si>
  <si>
    <t xml:space="preserve">EventCreatedResponse</t>
  </si>
  <si>
    <t xml:space="preserve">DB-F01 events, F02 receipts, F03 ref, F06 idempotency</t>
  </si>
  <si>
    <t xml:space="preserve">EVID-F01 Receipt</t>
  </si>
  <si>
    <t xml:space="preserve">5s soft, 15s hard</t>
  </si>
  <si>
    <t xml:space="preserve">GET /v1/receipts</t>
  </si>
  <si>
    <t xml:space="preserve">query (tenant_id, limit, before, after)</t>
  </si>
  <si>
    <t xml:space="preserve">ReceiptListResponse cursor</t>
  </si>
  <si>
    <t xml:space="preserve">(read DB-F02)</t>
  </si>
  <si>
    <t xml:space="preserve">(rolls EVID-F01)</t>
  </si>
  <si>
    <t xml:space="preserve">2s</t>
  </si>
  <si>
    <t xml:space="preserve">GET /v1/receipts/{id}</t>
  </si>
  <si>
    <t xml:space="preserve">path id</t>
  </si>
  <si>
    <t xml:space="preserve">ReceiptDetail</t>
  </si>
  <si>
    <t xml:space="preserve">GET /v1/evidence-packs</t>
  </si>
  <si>
    <t xml:space="preserve">query · Accept: jsonld|pdf</t>
  </si>
  <si>
    <t xml:space="preserve">EvidencePack JSON-LD OR application/pdf</t>
  </si>
  <si>
    <t xml:space="preserve">(read DB-F02, F04)</t>
  </si>
  <si>
    <t xml:space="preserve">EVID-F02 EvidencePack</t>
  </si>
  <si>
    <t xml:space="preserve">30s; 8s p95</t>
  </si>
  <si>
    <t xml:space="preserve">GET /v1/anchors[/{id}]</t>
  </si>
  <si>
    <t xml:space="preserve">query · Accept: json|timestamp-reply</t>
  </si>
  <si>
    <t xml:space="preserve">AnchorList / AnchorEvidence</t>
  </si>
  <si>
    <t xml:space="preserve">(read DB-F04)</t>
  </si>
  <si>
    <t xml:space="preserve">EVID-F03 AnchorEvidence</t>
  </si>
  <si>
    <t xml:space="preserve">5s</t>
  </si>
  <si>
    <t xml:space="preserve">POST /v1/exports/ma-diligence</t>
  </si>
  <si>
    <t xml:space="preserve">MaDiligenceRequest</t>
  </si>
  <si>
    <t xml:space="preserve">MaDiligenceExport</t>
  </si>
  <si>
    <t xml:space="preserve">DB-F05 (optional async)</t>
  </si>
  <si>
    <t xml:space="preserve">EVID-F04 MaDiligenceExport</t>
  </si>
  <si>
    <t xml:space="preserve">60s; async planned</t>
  </si>
  <si>
    <t xml:space="preserve">API-F10</t>
  </si>
  <si>
    <t xml:space="preserve">POST/GET /v1/exports/ma-diligence/jobs</t>
  </si>
  <si>
    <t xml:space="preserve">per spec</t>
  </si>
  <si>
    <t xml:space="preserve">DB-F05</t>
  </si>
  <si>
    <t xml:space="preserve">EVID-F04</t>
  </si>
  <si>
    <t xml:space="preserve">POST /v1/tabletop/simulate</t>
  </si>
  <si>
    <t xml:space="preserve">TabletopScenario</t>
  </si>
  <si>
    <t xml:space="preserve">TabletopResult</t>
  </si>
  <si>
    <t xml:space="preserve">(no persist)</t>
  </si>
  <si>
    <t xml:space="preserve">EVID-F05 TabletopResult</t>
  </si>
  <si>
    <t xml:space="preserve">30s</t>
  </si>
  <si>
    <t xml:space="preserve">POST /v1/tabletop/replay-window</t>
  </si>
  <si>
    <t xml:space="preserve">ReplayRequest</t>
  </si>
  <si>
    <t xml:space="preserve">ReplayResult</t>
  </si>
  <si>
    <t xml:space="preserve">EVID-F05</t>
  </si>
  <si>
    <t xml:space="preserve">POST /v1/narratives</t>
  </si>
  <si>
    <t xml:space="preserve">NarrativeRequest</t>
  </si>
  <si>
    <t xml:space="preserve">NarrativeResponse</t>
  </si>
  <si>
    <t xml:space="preserve">EVID-F06 Narrative</t>
  </si>
  <si>
    <t xml:space="preserve">60s (LLM)</t>
  </si>
  <si>
    <t xml:space="preserve">POST /v1/auth/login (planned Phase 10)</t>
  </si>
  <si>
    <t xml:space="preserve">LoginRequest</t>
  </si>
  <si>
    <t xml:space="preserve">LoginResponse + cookie</t>
  </si>
  <si>
    <t xml:space="preserve">DB-F08 sessions (planned)</t>
  </si>
  <si>
    <t xml:space="preserve">GET /v1/metrics (planned)</t>
  </si>
  <si>
    <t xml:space="preserve">metrics</t>
  </si>
  <si>
    <t xml:space="preserve">(read)</t>
  </si>
  <si>
    <t xml:space="preserve">RT-F01..RT-F22 — 12-column traceability index</t>
  </si>
  <si>
    <t xml:space="preserve">RT</t>
  </si>
  <si>
    <t xml:space="preserve">DB</t>
  </si>
  <si>
    <t xml:space="preserve">TEST</t>
  </si>
  <si>
    <t xml:space="preserve">EVID</t>
  </si>
  <si>
    <t xml:space="preserve">IMP</t>
  </si>
  <si>
    <t xml:space="preserve">EVAL</t>
  </si>
  <si>
    <t xml:space="preserve">RT-F01</t>
  </si>
  <si>
    <t xml:space="preserve">Event ingest pipeline</t>
  </si>
  <si>
    <t xml:space="preserve">BG-F01, F02</t>
  </si>
  <si>
    <t xml:space="preserve">UC-01..08</t>
  </si>
  <si>
    <t xml:space="preserve">(backend)</t>
  </si>
  <si>
    <t xml:space="preserve">DB-F01/F02</t>
  </si>
  <si>
    <t xml:space="preserve">TEST-F01..F04</t>
  </si>
  <si>
    <t xml:space="preserve">EVID-F01</t>
  </si>
  <si>
    <t xml:space="preserve">IMP-F01/F02</t>
  </si>
  <si>
    <t xml:space="preserve">RT-F02</t>
  </si>
  <si>
    <t xml:space="preserve">In-process throughput</t>
  </si>
  <si>
    <t xml:space="preserve">BR-01, F09</t>
  </si>
  <si>
    <t xml:space="preserve">DB-F01</t>
  </si>
  <si>
    <t xml:space="preserve">(rolls F01)</t>
  </si>
  <si>
    <t xml:space="preserve">IMP-F09</t>
  </si>
  <si>
    <t xml:space="preserve">IMPLEMENTED+TESTED (in-process); AWS DEFERRED Phase 12</t>
  </si>
  <si>
    <t xml:space="preserve">6452 events/sec</t>
  </si>
  <si>
    <t xml:space="preserve">RT-F03</t>
  </si>
  <si>
    <t xml:space="preserve">Reasoning capture</t>
  </si>
  <si>
    <t xml:space="preserve">UC-01, 08</t>
  </si>
  <si>
    <t xml:space="preserve">DB-F02</t>
  </si>
  <si>
    <t xml:space="preserve">TEST-F06</t>
  </si>
  <si>
    <t xml:space="preserve">IMP-F14</t>
  </si>
  <si>
    <t xml:space="preserve">IMPLEMENTED+TESTED with named finding</t>
  </si>
  <si>
    <t xml:space="preserve">Normaliser conflation</t>
  </si>
  <si>
    <t xml:space="preserve">RT-F04</t>
  </si>
  <si>
    <t xml:space="preserve">Multi-party identity</t>
  </si>
  <si>
    <t xml:space="preserve">TEST-F07</t>
  </si>
  <si>
    <t xml:space="preserve">IMP-F15</t>
  </si>
  <si>
    <t xml:space="preserve">RT-F05</t>
  </si>
  <si>
    <t xml:space="preserve">Policy snapshot binding</t>
  </si>
  <si>
    <t xml:space="preserve">UC-01, 04, 08</t>
  </si>
  <si>
    <t xml:space="preserve">DB-F03</t>
  </si>
  <si>
    <t xml:space="preserve">TEST-F08</t>
  </si>
  <si>
    <t xml:space="preserve">IMP-F16</t>
  </si>
  <si>
    <t xml:space="preserve">RT-F06</t>
  </si>
  <si>
    <t xml:space="preserve">Bundle approval workflow</t>
  </si>
  <si>
    <t xml:space="preserve">(admin)</t>
  </si>
  <si>
    <t xml:space="preserve">TEST-F09</t>
  </si>
  <si>
    <t xml:space="preserve">(cross)</t>
  </si>
  <si>
    <t xml:space="preserve">IMP-F17</t>
  </si>
  <si>
    <t xml:space="preserve">RT-F07</t>
  </si>
  <si>
    <t xml:space="preserve">Hash chain primitive</t>
  </si>
  <si>
    <t xml:space="preserve">(internal)</t>
  </si>
  <si>
    <t xml:space="preserve">TEST-F10</t>
  </si>
  <si>
    <t xml:space="preserve">IMP-F03</t>
  </si>
  <si>
    <t xml:space="preserve">RT-F08</t>
  </si>
  <si>
    <t xml:space="preserve">RFC 3161 TSA anchoring</t>
  </si>
  <si>
    <t xml:space="preserve">DB-F04</t>
  </si>
  <si>
    <t xml:space="preserve">TEST-F11 (25)</t>
  </si>
  <si>
    <t xml:space="preserve">EVID-F03</t>
  </si>
  <si>
    <t xml:space="preserve">IMP-F12</t>
  </si>
  <si>
    <t xml:space="preserve">IMPLEMENTED+TESTED (CP9.51 cert chain)</t>
  </si>
  <si>
    <t xml:space="preserve">RT-F09</t>
  </si>
  <si>
    <t xml:space="preserve">UC-01, 02, 07</t>
  </si>
  <si>
    <t xml:space="preserve">DB-F02, F04 (read)</t>
  </si>
  <si>
    <t xml:space="preserve">TEST-F12 (72)</t>
  </si>
  <si>
    <t xml:space="preserve">EVID-F02</t>
  </si>
  <si>
    <t xml:space="preserve">IMP-F04</t>
  </si>
  <si>
    <t xml:space="preserve">RT-F10</t>
  </si>
  <si>
    <t xml:space="preserve">Live narrative + injection defence</t>
  </si>
  <si>
    <t xml:space="preserve">SCR-F08 (planned)</t>
  </si>
  <si>
    <t xml:space="preserve">TEST-F13 (19)</t>
  </si>
  <si>
    <t xml:space="preserve">EVID-F06</t>
  </si>
  <si>
    <t xml:space="preserve">IMP-F11</t>
  </si>
  <si>
    <t xml:space="preserve">RT-F11</t>
  </si>
  <si>
    <t xml:space="preserve">Receipt list pagination</t>
  </si>
  <si>
    <t xml:space="preserve">DB-F02 (read)</t>
  </si>
  <si>
    <t xml:space="preserve">TEST-F14</t>
  </si>
  <si>
    <t xml:space="preserve">IMP-F18</t>
  </si>
  <si>
    <t xml:space="preserve">IMPLEMENTED+TESTED (cursor); OpenSearch DEFERRED</t>
  </si>
  <si>
    <t xml:space="preserve">RT-F12</t>
  </si>
  <si>
    <t xml:space="preserve">SCR-F06 (planned)</t>
  </si>
  <si>
    <t xml:space="preserve">TEST-F15 (19)</t>
  </si>
  <si>
    <t xml:space="preserve">IMP-F19</t>
  </si>
  <si>
    <t xml:space="preserve">RT-F13</t>
  </si>
  <si>
    <t xml:space="preserve">SCR-F07 (planned)</t>
  </si>
  <si>
    <t xml:space="preserve">TEST-F16 (17)</t>
  </si>
  <si>
    <t xml:space="preserve">IMP-F05/F06/F20</t>
  </si>
  <si>
    <t xml:space="preserve">RT-F14</t>
  </si>
  <si>
    <t xml:space="preserve">UC-01, 05</t>
  </si>
  <si>
    <t xml:space="preserve">DB-F06</t>
  </si>
  <si>
    <t xml:space="preserve">TEST-F17 (54)</t>
  </si>
  <si>
    <t xml:space="preserve">IMP-F23/F24</t>
  </si>
  <si>
    <t xml:space="preserve">RT-F15</t>
  </si>
  <si>
    <t xml:space="preserve">Multi-tenant isolation</t>
  </si>
  <si>
    <t xml:space="preserve">NFR-10</t>
  </si>
  <si>
    <t xml:space="preserve">all SCR-F</t>
  </si>
  <si>
    <t xml:space="preserve">all API-F</t>
  </si>
  <si>
    <t xml:space="preserve">RLS all tables</t>
  </si>
  <si>
    <t xml:space="preserve">TEST-F18</t>
  </si>
  <si>
    <t xml:space="preserve">IMP-F25</t>
  </si>
  <si>
    <t xml:space="preserve">404-not-403 to avoid leak</t>
  </si>
  <si>
    <t xml:space="preserve">RT-F16</t>
  </si>
  <si>
    <t xml:space="preserve">PG triggers + partial UNIQUE</t>
  </si>
  <si>
    <t xml:space="preserve">BR-01 / NFR-01</t>
  </si>
  <si>
    <t xml:space="preserve">DB-F03, F07</t>
  </si>
  <si>
    <t xml:space="preserve">TEST-F19 (14)</t>
  </si>
  <si>
    <t xml:space="preserve">CP9.16-PG-up</t>
  </si>
  <si>
    <t xml:space="preserve">RT-F17</t>
  </si>
  <si>
    <t xml:space="preserve">LangGraph multi-agent provenance</t>
  </si>
  <si>
    <t xml:space="preserve">UC-03, 08</t>
  </si>
  <si>
    <t xml:space="preserve">(future)</t>
  </si>
  <si>
    <t xml:space="preserve">IMP-F07</t>
  </si>
  <si>
    <t xml:space="preserve">RT-F18</t>
  </si>
  <si>
    <t xml:space="preserve">(out)</t>
  </si>
  <si>
    <t xml:space="preserve">IMP-F08</t>
  </si>
  <si>
    <t xml:space="preserve">Stretch</t>
  </si>
  <si>
    <t xml:space="preserve">RT-F19</t>
  </si>
  <si>
    <t xml:space="preserve">Operator Console enterprise list views (NEW v2.0)</t>
  </si>
  <si>
    <t xml:space="preserve">SCR-F01..F08</t>
  </si>
  <si>
    <t xml:space="preserve">API-F05, F06, F07, F08, F13</t>
  </si>
  <si>
    <t xml:space="preserve">TEST-F30..F35 planned</t>
  </si>
  <si>
    <t xml:space="preserve">(presents EVID-F01..F06)</t>
  </si>
  <si>
    <t xml:space="preserve">IMP-F26/F27/F28</t>
  </si>
  <si>
    <t xml:space="preserve">List-views-as-top-nav; no sessionStorage</t>
  </si>
  <si>
    <t xml:space="preserve">RT-F20</t>
  </si>
  <si>
    <t xml:space="preserve">PWA installable shell (NEW v2.0)</t>
  </si>
  <si>
    <t xml:space="preserve">(client SW)</t>
  </si>
  <si>
    <t xml:space="preserve">(client cache)</t>
  </si>
  <si>
    <t xml:space="preserve">TEST-F36..F38 planned</t>
  </si>
  <si>
    <t xml:space="preserve">IMP-F29/F30</t>
  </si>
  <si>
    <t xml:space="preserve">Manifest + service worker</t>
  </si>
  <si>
    <t xml:space="preserve">RT-F21</t>
  </si>
  <si>
    <t xml:space="preserve">Tabletop / M&amp;A / Narrative Console UI (NEW v2.0)</t>
  </si>
  <si>
    <t xml:space="preserve">BR-12, F13, F10, F14</t>
  </si>
  <si>
    <t xml:space="preserve">UC-06, 07, 04</t>
  </si>
  <si>
    <t xml:space="preserve">SCR-F06, F07, F08</t>
  </si>
  <si>
    <t xml:space="preserve">API-F11, F12, F09, F10, F13</t>
  </si>
  <si>
    <t xml:space="preserve">TEST-F39 planned</t>
  </si>
  <si>
    <t xml:space="preserve">EVID-F04, F05, F06</t>
  </si>
  <si>
    <t xml:space="preserve">IMP-F31/F32/F33</t>
  </si>
  <si>
    <t xml:space="preserve">EVAL-F01</t>
  </si>
  <si>
    <t xml:space="preserve">PLANNED CP9.55..CP9.57</t>
  </si>
  <si>
    <t xml:space="preserve">RT-F22</t>
  </si>
  <si>
    <t xml:space="preserve">Multi-tenant auth surface (NEW v2.0)</t>
  </si>
  <si>
    <t xml:space="preserve">BG-F02, F04</t>
  </si>
  <si>
    <t xml:space="preserve">SCR-F09 + tenant picker</t>
  </si>
  <si>
    <t xml:space="preserve">DB-F08 (planned)</t>
  </si>
  <si>
    <t xml:space="preserve">TEST-F40 planned</t>
  </si>
  <si>
    <t xml:space="preserve">IMP-F34/F35/F36</t>
  </si>
  <si>
    <t xml:space="preserve">TEST-F01..TEST-F40+ coverage map</t>
  </si>
  <si>
    <t xml:space="preserve">TEST family</t>
  </si>
  <si>
    <t xml:space="preserve">Cases</t>
  </si>
  <si>
    <t xml:space="preserve">Layer</t>
  </si>
  <si>
    <t xml:space="preserve">Ingest happy / 422 / 401 / idempotency shape</t>
  </si>
  <si>
    <t xml:space="preserve">varies</t>
  </si>
  <si>
    <t xml:space="preserve">pytest unit + integration</t>
  </si>
  <si>
    <t xml:space="preserve">Load test 6452/sec</t>
  </si>
  <si>
    <t xml:space="preserve">2 functional</t>
  </si>
  <si>
    <t xml:space="preserve">scripts/load_test.py</t>
  </si>
  <si>
    <t xml:space="preserve">Schema + OTel normaliser</t>
  </si>
  <si>
    <t xml:space="preserve">50 (32+18)</t>
  </si>
  <si>
    <t xml:space="preserve">pytest unit</t>
  </si>
  <si>
    <t xml:space="preserve">Signature + agent-sig</t>
  </si>
  <si>
    <t xml:space="preserve">21</t>
  </si>
  <si>
    <t xml:space="preserve">Snapshot + replay</t>
  </si>
  <si>
    <t xml:space="preserve">22 (17+5)</t>
  </si>
  <si>
    <t xml:space="preserve">pytest integration</t>
  </si>
  <si>
    <t xml:space="preserve">Bundle approval triggers</t>
  </si>
  <si>
    <t xml:space="preserve">6</t>
  </si>
  <si>
    <t xml:space="preserve">PG integration</t>
  </si>
  <si>
    <t xml:space="preserve">Merkle chain property-based</t>
  </si>
  <si>
    <t xml:space="preserve">22</t>
  </si>
  <si>
    <t xml:space="preserve">hypothesis</t>
  </si>
  <si>
    <t xml:space="preserve">TEST-F11</t>
  </si>
  <si>
    <t xml:space="preserve">RFC 3161 TSA + cert chain</t>
  </si>
  <si>
    <t xml:space="preserve">25 (11+14 CP9.51)</t>
  </si>
  <si>
    <t xml:space="preserve">pytest unit + live integration</t>
  </si>
  <si>
    <t xml:space="preserve">TEST-F12</t>
  </si>
  <si>
    <t xml:space="preserve">Evidence pack JSON-LD + PDF</t>
  </si>
  <si>
    <t xml:space="preserve">72</t>
  </si>
  <si>
    <t xml:space="preserve">TEST-F13</t>
  </si>
  <si>
    <t xml:space="preserve">Narrative + injection defence</t>
  </si>
  <si>
    <t xml:space="preserve">19 (16+3 neg)</t>
  </si>
  <si>
    <t xml:space="preserve">Receipt list cursor pagination</t>
  </si>
  <si>
    <t xml:space="preserve">TEST-F15</t>
  </si>
  <si>
    <t xml:space="preserve">Tabletop</t>
  </si>
  <si>
    <t xml:space="preserve">19 (13+6)</t>
  </si>
  <si>
    <t xml:space="preserve">TEST-F16</t>
  </si>
  <si>
    <t xml:space="preserve">M&amp;A export</t>
  </si>
  <si>
    <t xml:space="preserve">17 (12+5)</t>
  </si>
  <si>
    <t xml:space="preserve">TEST-F17</t>
  </si>
  <si>
    <t xml:space="preserve">Idempotency</t>
  </si>
  <si>
    <t xml:space="preserve">54 (35+19)</t>
  </si>
  <si>
    <t xml:space="preserve">Cross-tenant 403/404</t>
  </si>
  <si>
    <t xml:space="preserve">per route</t>
  </si>
  <si>
    <t xml:space="preserve">TEST-F19</t>
  </si>
  <si>
    <t xml:space="preserve">14</t>
  </si>
  <si>
    <t xml:space="preserve">TEST-F20..F29</t>
  </si>
  <si>
    <t xml:space="preserve">(Reserved BR-07/08/09 AWS)</t>
  </si>
  <si>
    <t xml:space="preserve">DEFERRED</t>
  </si>
  <si>
    <t xml:space="preserve">TEST-F30</t>
  </si>
  <si>
    <t xml:space="preserve">SCR-F01 persona landing</t>
  </si>
  <si>
    <t xml:space="preserve">4 happy + 2 neg × 3 browsers</t>
  </si>
  <si>
    <t xml:space="preserve">Playwright UI-driving</t>
  </si>
  <si>
    <t xml:space="preserve">TEST-F31</t>
  </si>
  <si>
    <t xml:space="preserve">SCR-F02 receipts timeline</t>
  </si>
  <si>
    <t xml:space="preserve">8 happy + 4 neg × 3 browsers</t>
  </si>
  <si>
    <t xml:space="preserve">TEST-F32</t>
  </si>
  <si>
    <t xml:space="preserve">SCR-F03 receipt-detail tabs</t>
  </si>
  <si>
    <t xml:space="preserve">6 happy + 2 neg × 3 browsers</t>
  </si>
  <si>
    <t xml:space="preserve">TEST-F33</t>
  </si>
  <si>
    <t xml:space="preserve">SCR-F04 Compliance view</t>
  </si>
  <si>
    <t xml:space="preserve">5 happy + 2 neg × 3 browsers</t>
  </si>
  <si>
    <t xml:space="preserve">TEST-F34</t>
  </si>
  <si>
    <t xml:space="preserve">List-views-as-top-nav (+ anti-pattern check)</t>
  </si>
  <si>
    <t xml:space="preserve">5 + 1 sessionStorage-absent assertion</t>
  </si>
  <si>
    <t xml:space="preserve">Playwright</t>
  </si>
  <si>
    <t xml:space="preserve">TEST-F35</t>
  </si>
  <si>
    <t xml:space="preserve">Responsive mobile width</t>
  </si>
  <si>
    <t xml:space="preserve">3 happy + 2 neg</t>
  </si>
  <si>
    <t xml:space="preserve">Playwright mobile</t>
  </si>
  <si>
    <t xml:space="preserve">TEST-F36</t>
  </si>
  <si>
    <t xml:space="preserve">PWA manifest validity</t>
  </si>
  <si>
    <t xml:space="preserve">field validation</t>
  </si>
  <si>
    <t xml:space="preserve">structural</t>
  </si>
  <si>
    <t xml:space="preserve">TEST-F37</t>
  </si>
  <si>
    <t xml:space="preserve">Service worker registration + scope</t>
  </si>
  <si>
    <t xml:space="preserve">3 cases</t>
  </si>
  <si>
    <t xml:space="preserve">Playwright + manual</t>
  </si>
  <si>
    <t xml:space="preserve">TEST-F38</t>
  </si>
  <si>
    <t xml:space="preserve">PWA offline shell + 24h-stale banner</t>
  </si>
  <si>
    <t xml:space="preserve">5 cases</t>
  </si>
  <si>
    <t xml:space="preserve">TEST-F39</t>
  </si>
  <si>
    <t xml:space="preserve">Tabletop / M&amp;A / Narrative UI</t>
  </si>
  <si>
    <t xml:space="preserve">~24 cases × 3 browsers</t>
  </si>
  <si>
    <t xml:space="preserve">TEST-F40</t>
  </si>
  <si>
    <t xml:space="preserve">Auth + login + tenant picker</t>
  </si>
  <si>
    <t xml:space="preserve">~10 cases × 3 browsers + pytest</t>
  </si>
  <si>
    <t xml:space="preserve">Playwright + pytest</t>
  </si>
  <si>
    <t xml:space="preserve">PLANNED Phase 10</t>
  </si>
  <si>
    <t xml:space="preserve">EVID-F01..EVID-F06 evidence artefact index</t>
  </si>
  <si>
    <t xml:space="preserve">Artefact</t>
  </si>
  <si>
    <t xml:space="preserve">Bound by</t>
  </si>
  <si>
    <t xml:space="preserve">Produced by API</t>
  </si>
  <si>
    <t xml:space="preserve">Verifiable offline?</t>
  </si>
  <si>
    <t xml:space="preserve">Receipt</t>
  </si>
  <si>
    <t xml:space="preserve">receipt_hash + signature_b64</t>
  </si>
  <si>
    <t xml:space="preserve">Yes — verify_chain()</t>
  </si>
  <si>
    <t xml:space="preserve">EvidencePack</t>
  </si>
  <si>
    <t xml:space="preserve">root_hash</t>
  </si>
  <si>
    <t xml:space="preserve">Yes — verify_evidence_pack()</t>
  </si>
  <si>
    <t xml:space="preserve">AnchorEvidence</t>
  </si>
  <si>
    <t xml:space="preserve">TSR DER bytes + cert chain</t>
  </si>
  <si>
    <t xml:space="preserve">Yes — openssl ts -verify OR verify_rfc3161_timestamp_response()</t>
  </si>
  <si>
    <t xml:space="preserve">ma_root_hash</t>
  </si>
  <si>
    <t xml:space="preserve">Yes — verify_ma_diligence_export()</t>
  </si>
  <si>
    <t xml:space="preserve">(not persisted; one-shot)</t>
  </si>
  <si>
    <t xml:space="preserve">Returned to caller; no chain mutation</t>
  </si>
  <si>
    <t xml:space="preserve">Narrative</t>
  </si>
  <si>
    <t xml:space="preserve">(not persisted; LLM output)</t>
  </si>
  <si>
    <t xml:space="preserve">Replayable given prompt + model version</t>
  </si>
  <si>
    <t xml:space="preserve">IMP-F* forward queue — enhancements per RT</t>
  </si>
  <si>
    <t xml:space="preserve">Description</t>
  </si>
  <si>
    <t xml:space="preserve">RT cross-ref</t>
  </si>
  <si>
    <t xml:space="preserve">Phase</t>
  </si>
  <si>
    <t xml:space="preserve">IMP-F01</t>
  </si>
  <si>
    <t xml:space="preserve">Payload-size limit (additional to schema)</t>
  </si>
  <si>
    <t xml:space="preserve">12</t>
  </si>
  <si>
    <t xml:space="preserve">IMP-F02</t>
  </si>
  <si>
    <t xml:space="preserve">OTel traceparent propagation in ingest</t>
  </si>
  <si>
    <t xml:space="preserve">Merkle tree (RFC 6962) for inclusion proofs</t>
  </si>
  <si>
    <t xml:space="preserve">Detached platform signature on pack</t>
  </si>
  <si>
    <t xml:space="preserve">11</t>
  </si>
  <si>
    <t xml:space="preserve">IMP-F05</t>
  </si>
  <si>
    <t xml:space="preserve">M&amp;A export detached platform signature</t>
  </si>
  <si>
    <t xml:space="preserve">IMP-F06</t>
  </si>
  <si>
    <t xml:space="preserve">M&amp;A export at-rest encryption</t>
  </si>
  <si>
    <t xml:space="preserve">LangGraph adapter</t>
  </si>
  <si>
    <t xml:space="preserve">Omniverse / Isaac Sim adapter</t>
  </si>
  <si>
    <t xml:space="preserve">13</t>
  </si>
  <si>
    <t xml:space="preserve">Kafka + S3 + EventBridge BR-09 full topology</t>
  </si>
  <si>
    <t xml:space="preserve">Semantic hallucination guardrail on narrative</t>
  </si>
  <si>
    <t xml:space="preserve">Second TSA fallback (in addition to FreeTSA)</t>
  </si>
  <si>
    <t xml:space="preserve">Separate forensa.reasoning from gen_ai.response.text</t>
  </si>
  <si>
    <t xml:space="preserve">KMS-rooted DEK for tenant signing keys</t>
  </si>
  <si>
    <t xml:space="preserve">OPA integration for richer policy expressions</t>
  </si>
  <si>
    <t xml:space="preserve">Admin UI for bundle approval workflow</t>
  </si>
  <si>
    <t xml:space="preserve">OpenSearch backend for scalable search</t>
  </si>
  <si>
    <t xml:space="preserve">Tabletop diff report (sim vs actual)</t>
  </si>
  <si>
    <t xml:space="preserve">IMP-F20</t>
  </si>
  <si>
    <t xml:space="preserve">M&amp;A export async-job mode (current sync only)</t>
  </si>
  <si>
    <t xml:space="preserve">IMP-F23</t>
  </si>
  <si>
    <t xml:space="preserve">Idempotency cleanup cron</t>
  </si>
  <si>
    <t xml:space="preserve">IMP-F24</t>
  </si>
  <si>
    <t xml:space="preserve">Production-wiring PostgresIdempotencyStore</t>
  </si>
  <si>
    <t xml:space="preserve">Row-level security DB enforcement</t>
  </si>
  <si>
    <t xml:space="preserve">IMP-F26</t>
  </si>
  <si>
    <t xml:space="preserve">Timeline status chips with consistent color tokens</t>
  </si>
  <si>
    <t xml:space="preserve">9.52</t>
  </si>
  <si>
    <t xml:space="preserve">IMP-F27</t>
  </si>
  <si>
    <t xml:space="preserve">Receipt-detail Summary/Proof/Raw tabs</t>
  </si>
  <si>
    <t xml:space="preserve">IMP-F28</t>
  </si>
  <si>
    <t xml:space="preserve">Compliance-view toggle on /evidence</t>
  </si>
  <si>
    <t xml:space="preserve">IMP-F29</t>
  </si>
  <si>
    <t xml:space="preserve">PWA install prompt UX</t>
  </si>
  <si>
    <t xml:space="preserve">IMP-F30</t>
  </si>
  <si>
    <t xml:space="preserve">24h-stale-warning banner offline</t>
  </si>
  <si>
    <t xml:space="preserve">IMP-F31</t>
  </si>
  <si>
    <t xml:space="preserve">Tabletop drill UI</t>
  </si>
  <si>
    <t xml:space="preserve">9.55</t>
  </si>
  <si>
    <t xml:space="preserve">IMP-F32</t>
  </si>
  <si>
    <t xml:space="preserve">M&amp;A diligence workspace UI</t>
  </si>
  <si>
    <t xml:space="preserve">9.56</t>
  </si>
  <si>
    <t xml:space="preserve">IMP-F33</t>
  </si>
  <si>
    <t xml:space="preserve">Narrative viewer UI</t>
  </si>
  <si>
    <t xml:space="preserve">9.57</t>
  </si>
  <si>
    <t xml:space="preserve">IMP-F34</t>
  </si>
  <si>
    <t xml:space="preserve">SCIM provisioning</t>
  </si>
  <si>
    <t xml:space="preserve">IMP-F35</t>
  </si>
  <si>
    <t xml:space="preserve">SAML SSO</t>
  </si>
  <si>
    <t xml:space="preserve">IMP-F36</t>
  </si>
  <si>
    <t xml:space="preserve">Tenant picker UX</t>
  </si>
  <si>
    <t xml:space="preserve">10</t>
  </si>
  <si>
    <t xml:space="preserve">R-F01..R-F12 Risk register</t>
  </si>
  <si>
    <t xml:space="preserve">Risk</t>
  </si>
  <si>
    <t xml:space="preserve">L (1-5)</t>
  </si>
  <si>
    <t xml:space="preserve">I (1-5)</t>
  </si>
  <si>
    <t xml:space="preserve">Score</t>
  </si>
  <si>
    <t xml:space="preserve">Mitigation</t>
  </si>
  <si>
    <t xml:space="preserve">Owner / Phase</t>
  </si>
  <si>
    <t xml:space="preserve">R-F01</t>
  </si>
  <si>
    <t xml:space="preserve">FreeTSA outage causes daily anchor failure</t>
  </si>
  <si>
    <t xml:space="preserve">Deferred-tombstone fallback (CP9.19); 2nd TSA fallback IMP-F12 Phase 11</t>
  </si>
  <si>
    <t xml:space="preserve">P-PLAT / 9</t>
  </si>
  <si>
    <t xml:space="preserve">R-F02</t>
  </si>
  <si>
    <t xml:space="preserve">Prompt-injection bypass on narrative endpoint</t>
  </si>
  <si>
    <t xml:space="preserve">4-layer defence (CP9.1); EVAL-F02 corpus to N=500 (Phase 10)</t>
  </si>
  <si>
    <t xml:space="preserve">AI Lead / 10</t>
  </si>
  <si>
    <t xml:space="preserve">R-F03</t>
  </si>
  <si>
    <t xml:space="preserve">Cross-tenant leakage via 403/404 timing</t>
  </si>
  <si>
    <t xml:space="preserve">Bundle-lookup 404-not-403; annual pen-test</t>
  </si>
  <si>
    <t xml:space="preserve">P-PLAT / 10</t>
  </si>
  <si>
    <t xml:space="preserve">R-F04</t>
  </si>
  <si>
    <t xml:space="preserve">Demo failure at TechEx (UI regression)</t>
  </si>
  <si>
    <t xml:space="preserve">Pre-recorded fallback; Playwright UI-driving E2E pre-flight (CP9.52)</t>
  </si>
  <si>
    <t xml:space="preserve">P-PLAT / 9.52</t>
  </si>
  <si>
    <t xml:space="preserve">R-F05</t>
  </si>
  <si>
    <t xml:space="preserve">sessionStorage anti-pattern adopted in Console (mendoraci cautionary tale)</t>
  </si>
  <si>
    <t xml:space="preserve">BR-14 AC-2 explicit prohibition + RT-F19; pre-emptive</t>
  </si>
  <si>
    <t xml:space="preserve">Tech Lead / 9.52</t>
  </si>
  <si>
    <t xml:space="preserve">R-F06</t>
  </si>
  <si>
    <t xml:space="preserve">Console-only auth coupling breaks API client-agnosticism</t>
  </si>
  <si>
    <t xml:space="preserve">Per-tenant token in API layer (CP10.1) decoupled from Console</t>
  </si>
  <si>
    <t xml:space="preserve">R-F07</t>
  </si>
  <si>
    <t xml:space="preserve">KMS envelope deferral leaves at-rest encryption gap</t>
  </si>
  <si>
    <t xml:space="preserve">Phase 11 CP11.2 commitment; interim TLS-at-gateway documented</t>
  </si>
  <si>
    <t xml:space="preserve">P-PLAT + Sec Lead / 11</t>
  </si>
  <si>
    <t xml:space="preserve">R-F08</t>
  </si>
  <si>
    <t xml:space="preserve">M&amp;A diligence export bundle forgery (no detached platform sig)</t>
  </si>
  <si>
    <t xml:space="preserve">IMP-F04 / IMP-F05 Phase 11</t>
  </si>
  <si>
    <t xml:space="preserve">P-COUNSEL + P-PLAT / 11</t>
  </si>
  <si>
    <t xml:space="preserve">R-F09</t>
  </si>
  <si>
    <t xml:space="preserve">Native Console expectation creep (sponsors pull native into v1.x)</t>
  </si>
  <si>
    <t xml:space="preserve">BR-14 AC-9 explicit Phase 14+; documented in DEPLOYMENT_TOPOLOGY + Pricing Strategic tier</t>
  </si>
  <si>
    <t xml:space="preserve">Product Owner / 9.52</t>
  </si>
  <si>
    <t xml:space="preserve">R-F10</t>
  </si>
  <si>
    <t xml:space="preserve">PWA install adoption low (judges don't install)</t>
  </si>
  <si>
    <t xml:space="preserve">Pre-install demo phone for TechEx; install QR code on JUDGE_HANDOUT</t>
  </si>
  <si>
    <t xml:space="preserve">R-F11</t>
  </si>
  <si>
    <t xml:space="preserve">LangGraph (BR-07) deferral leaves multi-agent workflows unserved</t>
  </si>
  <si>
    <t xml:space="preserve">Phase 12 CP12.x commitment; interim DID-based agent identity</t>
  </si>
  <si>
    <t xml:space="preserve">AI Lead / 12</t>
  </si>
  <si>
    <t xml:space="preserve">R-F12</t>
  </si>
  <si>
    <t xml:space="preserve">Documentation drift between canonical + LIVE (the pattern v2.0 addresses)</t>
  </si>
  <si>
    <t xml:space="preserve">Rule A.10 + Rule A.11 + LIVE-update-after-every-commit cadence</t>
  </si>
  <si>
    <t xml:space="preserve">Tech Lead / continuous</t>
  </si>
  <si>
    <t xml:space="preserve">Date</t>
  </si>
  <si>
    <t xml:space="preserve">Doc</t>
  </si>
  <si>
    <t xml:space="preserve">Change</t>
  </si>
  <si>
    <t xml:space="preserve">2026-05-18 05:15 BST</t>
  </si>
  <si>
    <t xml:space="preserve">All v2.0 docs</t>
  </si>
  <si>
    <t xml:space="preserve">v2.0 ELABORATED. BRD reshaped to mendoraci shape (§1..§20). BR-14 (Operator Console — Web + PWA, native deferred Phase 14+) introduced. UC-09, UC-10 added. US-F01..F32, SCR-F01..F10, RT-F01..F22, EVID-F01..F06, BG-F01..F06, R-F01..F12, OPT-F01..F08, EVAL-F01/F02, IMP-F* numbered. Rule A.11 (CP ↔ requirement closure) locked. Folder reshape with per-topic _archive/. v1 docs preserved verbatim. Supersession map records 4 v1.2-narrative-vs-HEAD drifts (BR-02, F06, F10, F11).</t>
  </si>
  <si>
    <t xml:space="preserve">2026-05-17 17:50 BST</t>
  </si>
  <si>
    <t xml:space="preserve">packages/crypto/tsa.py + tests</t>
  </si>
  <si>
    <t xml:space="preserve">CP9.51 d7d9aaa — verify_rfc3161_timestamp_response() full PKIX cert-chain verification against FreeTSA published chain. 14 unit + live integration tests. Fixtures bundled.</t>
  </si>
  <si>
    <t xml:space="preserve">2026-05-17 03:47 BST</t>
  </si>
  <si>
    <t xml:space="preserve">apps/web + tests/playwright</t>
  </si>
  <si>
    <t xml:space="preserve">CP9.50 b92c308 — /evidence Console page; auditex 2-crypto-op demo spec rewrite; Chromium pre-paint blank frame fix.</t>
  </si>
  <si>
    <t xml:space="preserve">2026-05-15 11:22 BST</t>
  </si>
  <si>
    <t xml:space="preserve">BRD + TRACEABILITY</t>
  </si>
  <si>
    <t xml:space="preserve">CP9.29 — BR-12 DEFERRED → IMPLEMENTED+TESTED. Headline 9/13 → 10/13.</t>
  </si>
  <si>
    <t xml:space="preserve">2026-05-15 10:55 BST</t>
  </si>
  <si>
    <t xml:space="preserve">CP9.28 — BR-13 STUB → IMPLEMENTED+TESTED. Headline 8/13 → 9/13.</t>
  </si>
  <si>
    <t xml:space="preserve">2026-05-15 07:10 BST</t>
  </si>
  <si>
    <t xml:space="preserve">CP9.21a + 9.21b — BR-05 PARTIAL → IMPLEMENTED+TESTED.</t>
  </si>
  <si>
    <t xml:space="preserve">2026-05-14 22:02 BST</t>
  </si>
  <si>
    <t xml:space="preserve">BRD + TRACEABILITY (v1 last sweep)</t>
  </si>
  <si>
    <t xml:space="preserve">CP9.17 NFR-08 retry-safe ingest at IMPLEMENTED+TESTED. CP9.16-PG-up BR-01 narrative references DB-level append-only triggers.</t>
  </si>
  <si>
    <t xml:space="preserve">2026-05-12</t>
  </si>
  <si>
    <t xml:space="preserve">All v1 docs</t>
  </si>
  <si>
    <t xml:space="preserve">v1 baseline frozen at 13 BRs + 8 UCs + 5 personas.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</si>
</sst>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A3D62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2"/>
      <color rgb="FFC0392B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A3D62"/>
        <bgColor rgb="FF333333"/>
      </patternFill>
    </fill>
    <fill>
      <patternFill patternType="solid">
        <fgColor rgb="FFD4EDDA"/>
        <bgColor rgb="FFE9ECEF"/>
      </patternFill>
    </fill>
    <fill>
      <patternFill patternType="solid">
        <fgColor rgb="FFE9ECEF"/>
        <bgColor rgb="FFD4EDDA"/>
      </patternFill>
    </fill>
    <fill>
      <patternFill patternType="solid">
        <fgColor rgb="FFFFF3CD"/>
        <bgColor rgb="FFE9ECEF"/>
      </patternFill>
    </fill>
    <fill>
      <patternFill patternType="solid">
        <fgColor rgb="FFCCE5FF"/>
        <bgColor rgb="FFD4ED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3CD"/>
      <rgbColor rgb="FFE9ECEF"/>
      <rgbColor rgb="FF660066"/>
      <rgbColor rgb="FFFF8080"/>
      <rgbColor rgb="FF0066CC"/>
      <rgbColor rgb="FFCCE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A3D62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0"/>
  </cols>
  <sheetData>
    <row r="1" customFormat="false" ht="22.0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7" customFormat="false" ht="15" hidden="false" customHeight="false" outlineLevel="0" collapsed="false">
      <c r="A7" s="3" t="s">
        <v>4</v>
      </c>
    </row>
    <row r="8" customFormat="false" ht="57.45" hidden="false" customHeight="false" outlineLevel="0" collapsed="false">
      <c r="A8" s="4" t="s">
        <v>5</v>
      </c>
    </row>
    <row r="9" customFormat="false" ht="102.2" hidden="false" customHeight="false" outlineLevel="0" collapsed="false">
      <c r="A9" s="4" t="s">
        <v>6</v>
      </c>
    </row>
    <row r="11" customFormat="false" ht="15" hidden="false" customHeight="false" outlineLevel="0" collapsed="false">
      <c r="A11" s="5" t="s">
        <v>7</v>
      </c>
    </row>
    <row r="12" customFormat="false" ht="15" hidden="false" customHeight="false" outlineLevel="0" collapsed="false">
      <c r="A12" s="6" t="s">
        <v>8</v>
      </c>
      <c r="B12" s="6" t="s">
        <v>9</v>
      </c>
    </row>
    <row r="13" customFormat="false" ht="15" hidden="false" customHeight="false" outlineLevel="0" collapsed="false">
      <c r="A13" s="7" t="s">
        <v>10</v>
      </c>
      <c r="B13" s="8" t="s">
        <v>11</v>
      </c>
    </row>
    <row r="14" customFormat="false" ht="23.85" hidden="false" customHeight="false" outlineLevel="0" collapsed="false">
      <c r="A14" s="7" t="s">
        <v>12</v>
      </c>
      <c r="B14" s="8" t="s">
        <v>13</v>
      </c>
    </row>
    <row r="15" customFormat="false" ht="15" hidden="false" customHeight="false" outlineLevel="0" collapsed="false">
      <c r="A15" s="7" t="s">
        <v>14</v>
      </c>
      <c r="B15" s="8" t="s">
        <v>15</v>
      </c>
    </row>
    <row r="16" customFormat="false" ht="15" hidden="false" customHeight="false" outlineLevel="0" collapsed="false">
      <c r="A16" s="7" t="s">
        <v>16</v>
      </c>
      <c r="B16" s="8" t="s">
        <v>17</v>
      </c>
    </row>
    <row r="17" customFormat="false" ht="15" hidden="false" customHeight="false" outlineLevel="0" collapsed="false">
      <c r="A17" s="7" t="s">
        <v>18</v>
      </c>
      <c r="B17" s="8" t="s">
        <v>19</v>
      </c>
    </row>
    <row r="18" customFormat="false" ht="15" hidden="false" customHeight="false" outlineLevel="0" collapsed="false">
      <c r="A18" s="7" t="s">
        <v>20</v>
      </c>
      <c r="B18" s="8" t="s">
        <v>21</v>
      </c>
    </row>
    <row r="19" customFormat="false" ht="15" hidden="false" customHeight="false" outlineLevel="0" collapsed="false">
      <c r="A19" s="7" t="s">
        <v>22</v>
      </c>
      <c r="B19" s="8" t="s">
        <v>23</v>
      </c>
    </row>
    <row r="20" customFormat="false" ht="15" hidden="false" customHeight="false" outlineLevel="0" collapsed="false">
      <c r="A20" s="7" t="s">
        <v>24</v>
      </c>
      <c r="B20" s="8" t="s">
        <v>25</v>
      </c>
    </row>
    <row r="21" customFormat="false" ht="15" hidden="false" customHeight="false" outlineLevel="0" collapsed="false">
      <c r="A21" s="7" t="s">
        <v>26</v>
      </c>
      <c r="B21" s="8" t="s">
        <v>27</v>
      </c>
    </row>
    <row r="22" customFormat="false" ht="15" hidden="false" customHeight="false" outlineLevel="0" collapsed="false">
      <c r="A22" s="7" t="s">
        <v>28</v>
      </c>
      <c r="B22" s="8" t="s">
        <v>29</v>
      </c>
    </row>
    <row r="23" customFormat="false" ht="15" hidden="false" customHeight="false" outlineLevel="0" collapsed="false">
      <c r="A23" s="7" t="s">
        <v>30</v>
      </c>
      <c r="B23" s="8" t="s">
        <v>31</v>
      </c>
    </row>
    <row r="24" customFormat="false" ht="15" hidden="false" customHeight="false" outlineLevel="0" collapsed="false">
      <c r="A24" s="7" t="s">
        <v>32</v>
      </c>
      <c r="B24" s="8" t="s">
        <v>33</v>
      </c>
    </row>
    <row r="25" customFormat="false" ht="15" hidden="false" customHeight="false" outlineLevel="0" collapsed="false">
      <c r="A25" s="7" t="s">
        <v>34</v>
      </c>
      <c r="B25" s="8" t="s">
        <v>35</v>
      </c>
    </row>
    <row r="26" customFormat="false" ht="15" hidden="false" customHeight="false" outlineLevel="0" collapsed="false">
      <c r="A26" s="7" t="s">
        <v>36</v>
      </c>
      <c r="B26" s="8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38"/>
    <col collapsed="false" customWidth="true" hidden="false" outlineLevel="0" max="5" min="5" style="0" width="55"/>
  </cols>
  <sheetData>
    <row r="1" customFormat="false" ht="17.35" hidden="false" customHeight="false" outlineLevel="0" collapsed="false">
      <c r="A1" s="9" t="s">
        <v>38</v>
      </c>
      <c r="B1" s="9"/>
      <c r="C1" s="9"/>
      <c r="D1" s="9"/>
      <c r="E1" s="9"/>
    </row>
    <row r="2" customFormat="false" ht="17.35" hidden="false" customHeight="false" outlineLevel="0" collapsed="false">
      <c r="A2" s="10" t="s">
        <v>39</v>
      </c>
      <c r="B2" s="10" t="s">
        <v>40</v>
      </c>
      <c r="C2" s="10" t="s">
        <v>41</v>
      </c>
      <c r="D2" s="10" t="s">
        <v>42</v>
      </c>
      <c r="E2" s="10" t="s">
        <v>43</v>
      </c>
    </row>
    <row r="3" customFormat="false" ht="15" hidden="false" customHeight="false" outlineLevel="0" collapsed="false">
      <c r="A3" s="11" t="s">
        <v>44</v>
      </c>
      <c r="B3" s="11" t="s">
        <v>45</v>
      </c>
      <c r="C3" s="11" t="s">
        <v>46</v>
      </c>
      <c r="D3" s="11" t="s">
        <v>47</v>
      </c>
      <c r="E3" s="11" t="s">
        <v>48</v>
      </c>
    </row>
    <row r="4" customFormat="false" ht="15" hidden="false" customHeight="false" outlineLevel="0" collapsed="false">
      <c r="A4" s="11" t="s">
        <v>49</v>
      </c>
      <c r="B4" s="11" t="s">
        <v>50</v>
      </c>
      <c r="C4" s="11" t="s">
        <v>51</v>
      </c>
      <c r="D4" s="11" t="s">
        <v>52</v>
      </c>
      <c r="E4" s="11" t="s">
        <v>53</v>
      </c>
    </row>
    <row r="5" customFormat="false" ht="23.85" hidden="false" customHeight="false" outlineLevel="0" collapsed="false">
      <c r="A5" s="11" t="s">
        <v>54</v>
      </c>
      <c r="B5" s="11" t="s">
        <v>55</v>
      </c>
      <c r="C5" s="11" t="s">
        <v>56</v>
      </c>
      <c r="D5" s="11" t="s">
        <v>57</v>
      </c>
      <c r="E5" s="11" t="s">
        <v>58</v>
      </c>
    </row>
    <row r="6" customFormat="false" ht="23.85" hidden="false" customHeight="false" outlineLevel="0" collapsed="false">
      <c r="A6" s="11" t="s">
        <v>59</v>
      </c>
      <c r="B6" s="11" t="s">
        <v>60</v>
      </c>
      <c r="C6" s="11" t="s">
        <v>61</v>
      </c>
      <c r="D6" s="11" t="s">
        <v>62</v>
      </c>
      <c r="E6" s="11" t="s">
        <v>63</v>
      </c>
    </row>
    <row r="7" customFormat="false" ht="15" hidden="false" customHeight="false" outlineLevel="0" collapsed="false">
      <c r="A7" s="11" t="s">
        <v>64</v>
      </c>
      <c r="B7" s="11" t="s">
        <v>65</v>
      </c>
      <c r="C7" s="11" t="s">
        <v>66</v>
      </c>
      <c r="D7" s="11" t="s">
        <v>47</v>
      </c>
      <c r="E7" s="11" t="s">
        <v>67</v>
      </c>
    </row>
    <row r="8" customFormat="false" ht="15" hidden="false" customHeight="false" outlineLevel="0" collapsed="false">
      <c r="A8" s="11" t="s">
        <v>68</v>
      </c>
      <c r="B8" s="11" t="s">
        <v>69</v>
      </c>
      <c r="C8" s="11" t="s">
        <v>70</v>
      </c>
      <c r="D8" s="11" t="s">
        <v>71</v>
      </c>
      <c r="E8" s="11" t="s">
        <v>72</v>
      </c>
    </row>
    <row r="9" customFormat="false" ht="15" hidden="false" customHeight="false" outlineLevel="0" collapsed="false">
      <c r="A9" s="11" t="s">
        <v>73</v>
      </c>
      <c r="B9" s="11" t="s">
        <v>74</v>
      </c>
      <c r="C9" s="11" t="s">
        <v>75</v>
      </c>
      <c r="D9" s="11" t="s">
        <v>76</v>
      </c>
      <c r="E9" s="11" t="s">
        <v>77</v>
      </c>
    </row>
    <row r="10" customFormat="false" ht="15" hidden="false" customHeight="false" outlineLevel="0" collapsed="false">
      <c r="A10" s="11" t="s">
        <v>78</v>
      </c>
      <c r="B10" s="11" t="s">
        <v>79</v>
      </c>
      <c r="C10" s="11" t="s">
        <v>80</v>
      </c>
      <c r="D10" s="11" t="s">
        <v>81</v>
      </c>
      <c r="E10" s="11" t="s">
        <v>82</v>
      </c>
    </row>
    <row r="11" customFormat="false" ht="23.85" hidden="false" customHeight="false" outlineLevel="0" collapsed="false">
      <c r="A11" s="11" t="s">
        <v>83</v>
      </c>
      <c r="B11" s="11" t="s">
        <v>84</v>
      </c>
      <c r="C11" s="11" t="s">
        <v>85</v>
      </c>
      <c r="D11" s="11" t="s">
        <v>47</v>
      </c>
      <c r="E11" s="11" t="s">
        <v>86</v>
      </c>
    </row>
    <row r="12" customFormat="false" ht="15" hidden="false" customHeight="false" outlineLevel="0" collapsed="false">
      <c r="A12" s="11" t="s">
        <v>87</v>
      </c>
      <c r="B12" s="11" t="s">
        <v>88</v>
      </c>
      <c r="C12" s="11" t="s">
        <v>89</v>
      </c>
      <c r="D12" s="11" t="s">
        <v>90</v>
      </c>
      <c r="E12" s="11" t="s">
        <v>91</v>
      </c>
    </row>
    <row r="13" customFormat="false" ht="15" hidden="false" customHeight="false" outlineLevel="0" collapsed="false">
      <c r="A13" s="11" t="s">
        <v>92</v>
      </c>
      <c r="B13" s="11" t="s">
        <v>93</v>
      </c>
      <c r="C13" s="11" t="s">
        <v>94</v>
      </c>
      <c r="D13" s="11" t="s">
        <v>95</v>
      </c>
      <c r="E13" s="11" t="s">
        <v>96</v>
      </c>
    </row>
    <row r="14" customFormat="false" ht="15" hidden="false" customHeight="false" outlineLevel="0" collapsed="false">
      <c r="A14" s="11" t="s">
        <v>97</v>
      </c>
      <c r="B14" s="11" t="s">
        <v>98</v>
      </c>
      <c r="C14" s="11" t="s">
        <v>99</v>
      </c>
      <c r="D14" s="11" t="s">
        <v>47</v>
      </c>
      <c r="E14" s="11" t="s">
        <v>100</v>
      </c>
    </row>
    <row r="15" customFormat="false" ht="15" hidden="false" customHeight="false" outlineLevel="0" collapsed="false">
      <c r="A15" s="11" t="s">
        <v>101</v>
      </c>
      <c r="B15" s="11" t="s">
        <v>102</v>
      </c>
      <c r="C15" s="11" t="s">
        <v>103</v>
      </c>
      <c r="D15" s="11" t="s">
        <v>104</v>
      </c>
      <c r="E15" s="11" t="s">
        <v>105</v>
      </c>
    </row>
    <row r="16" customFormat="false" ht="15" hidden="false" customHeight="false" outlineLevel="0" collapsed="false">
      <c r="A16" s="11" t="s">
        <v>106</v>
      </c>
      <c r="B16" s="11" t="s">
        <v>107</v>
      </c>
      <c r="C16" s="11" t="s">
        <v>108</v>
      </c>
      <c r="D16" s="11" t="s">
        <v>109</v>
      </c>
      <c r="E16" s="11" t="s">
        <v>110</v>
      </c>
    </row>
    <row r="17" customFormat="false" ht="15" hidden="false" customHeight="false" outlineLevel="0" collapsed="false">
      <c r="A17" s="11" t="s">
        <v>111</v>
      </c>
      <c r="B17" s="11" t="s">
        <v>112</v>
      </c>
      <c r="C17" s="11" t="s">
        <v>113</v>
      </c>
      <c r="D17" s="11" t="s">
        <v>47</v>
      </c>
      <c r="E17" s="11" t="s">
        <v>114</v>
      </c>
    </row>
    <row r="18" customFormat="false" ht="15" hidden="false" customHeight="false" outlineLevel="0" collapsed="false">
      <c r="A18" s="11" t="s">
        <v>115</v>
      </c>
      <c r="B18" s="11" t="s">
        <v>116</v>
      </c>
      <c r="C18" s="11" t="s">
        <v>117</v>
      </c>
      <c r="D18" s="11" t="s">
        <v>118</v>
      </c>
      <c r="E18" s="11" t="s">
        <v>119</v>
      </c>
    </row>
    <row r="19" customFormat="false" ht="15" hidden="false" customHeight="false" outlineLevel="0" collapsed="false">
      <c r="A19" s="11" t="s">
        <v>120</v>
      </c>
      <c r="B19" s="11" t="s">
        <v>121</v>
      </c>
      <c r="C19" s="11" t="s">
        <v>122</v>
      </c>
      <c r="D19" s="11" t="s">
        <v>123</v>
      </c>
      <c r="E19" s="11" t="s">
        <v>124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2"/>
  </cols>
  <sheetData>
    <row r="1" customFormat="false" ht="17.35" hidden="false" customHeight="false" outlineLevel="0" collapsed="false">
      <c r="A1" s="9" t="s">
        <v>125</v>
      </c>
      <c r="B1" s="9"/>
      <c r="C1" s="9"/>
      <c r="D1" s="9"/>
      <c r="E1" s="9"/>
      <c r="F1" s="9"/>
      <c r="G1" s="9"/>
    </row>
    <row r="3" customFormat="false" ht="15" hidden="false" customHeight="false" outlineLevel="0" collapsed="false">
      <c r="A3" s="6" t="s">
        <v>126</v>
      </c>
    </row>
    <row r="4" customFormat="false" ht="32.8" hidden="false" customHeight="false" outlineLevel="0" collapsed="false">
      <c r="A4" s="10" t="s">
        <v>127</v>
      </c>
      <c r="B4" s="10" t="s">
        <v>128</v>
      </c>
      <c r="C4" s="10" t="s">
        <v>129</v>
      </c>
      <c r="D4" s="10" t="s">
        <v>130</v>
      </c>
      <c r="E4" s="10" t="s">
        <v>131</v>
      </c>
    </row>
    <row r="5" customFormat="false" ht="46.25" hidden="false" customHeight="false" outlineLevel="0" collapsed="false">
      <c r="A5" s="11" t="s">
        <v>132</v>
      </c>
      <c r="B5" s="11" t="s">
        <v>133</v>
      </c>
      <c r="C5" s="11" t="s">
        <v>134</v>
      </c>
      <c r="D5" s="11" t="s">
        <v>135</v>
      </c>
      <c r="E5" s="11" t="s">
        <v>136</v>
      </c>
    </row>
    <row r="6" customFormat="false" ht="46.25" hidden="false" customHeight="false" outlineLevel="0" collapsed="false">
      <c r="A6" s="11" t="s">
        <v>137</v>
      </c>
      <c r="B6" s="11" t="s">
        <v>138</v>
      </c>
      <c r="C6" s="11" t="s">
        <v>139</v>
      </c>
      <c r="D6" s="11" t="s">
        <v>140</v>
      </c>
      <c r="E6" s="11" t="s">
        <v>141</v>
      </c>
    </row>
    <row r="7" customFormat="false" ht="46.25" hidden="false" customHeight="false" outlineLevel="0" collapsed="false">
      <c r="A7" s="11" t="s">
        <v>142</v>
      </c>
      <c r="B7" s="11" t="s">
        <v>143</v>
      </c>
      <c r="C7" s="11" t="s">
        <v>144</v>
      </c>
      <c r="D7" s="11" t="s">
        <v>145</v>
      </c>
      <c r="E7" s="11" t="s">
        <v>146</v>
      </c>
    </row>
    <row r="8" customFormat="false" ht="46.25" hidden="false" customHeight="false" outlineLevel="0" collapsed="false">
      <c r="A8" s="11" t="s">
        <v>147</v>
      </c>
      <c r="B8" s="11" t="s">
        <v>148</v>
      </c>
      <c r="C8" s="11" t="s">
        <v>149</v>
      </c>
      <c r="D8" s="11" t="s">
        <v>150</v>
      </c>
      <c r="E8" s="11" t="s">
        <v>151</v>
      </c>
    </row>
    <row r="9" customFormat="false" ht="46.25" hidden="false" customHeight="false" outlineLevel="0" collapsed="false">
      <c r="A9" s="11" t="s">
        <v>152</v>
      </c>
      <c r="B9" s="11" t="s">
        <v>153</v>
      </c>
      <c r="C9" s="11" t="s">
        <v>154</v>
      </c>
      <c r="D9" s="11" t="s">
        <v>155</v>
      </c>
      <c r="E9" s="11" t="s">
        <v>156</v>
      </c>
    </row>
    <row r="10" customFormat="false" ht="35.05" hidden="false" customHeight="false" outlineLevel="0" collapsed="false">
      <c r="A10" s="11" t="s">
        <v>157</v>
      </c>
      <c r="B10" s="11" t="s">
        <v>158</v>
      </c>
      <c r="C10" s="11" t="s">
        <v>159</v>
      </c>
      <c r="D10" s="11" t="s">
        <v>160</v>
      </c>
      <c r="E10" s="11" t="s">
        <v>161</v>
      </c>
    </row>
    <row r="12" customFormat="false" ht="15" hidden="false" customHeight="false" outlineLevel="0" collapsed="false">
      <c r="A12" s="6" t="s">
        <v>162</v>
      </c>
    </row>
    <row r="13" customFormat="false" ht="17.35" hidden="false" customHeight="false" outlineLevel="0" collapsed="false">
      <c r="A13" s="10" t="s">
        <v>49</v>
      </c>
      <c r="B13" s="10" t="s">
        <v>132</v>
      </c>
      <c r="C13" s="10" t="s">
        <v>137</v>
      </c>
      <c r="D13" s="10" t="s">
        <v>142</v>
      </c>
      <c r="E13" s="10" t="s">
        <v>147</v>
      </c>
      <c r="F13" s="10" t="s">
        <v>152</v>
      </c>
      <c r="G13" s="10" t="s">
        <v>157</v>
      </c>
    </row>
    <row r="14" customFormat="false" ht="15" hidden="false" customHeight="false" outlineLevel="0" collapsed="false">
      <c r="A14" s="11" t="s">
        <v>163</v>
      </c>
      <c r="B14" s="11" t="s">
        <v>164</v>
      </c>
      <c r="C14" s="11" t="s">
        <v>165</v>
      </c>
      <c r="D14" s="11" t="s">
        <v>164</v>
      </c>
      <c r="E14" s="11" t="s">
        <v>166</v>
      </c>
      <c r="F14" s="11" t="s">
        <v>167</v>
      </c>
      <c r="G14" s="11" t="s">
        <v>166</v>
      </c>
    </row>
    <row r="15" customFormat="false" ht="15" hidden="false" customHeight="false" outlineLevel="0" collapsed="false">
      <c r="A15" s="11" t="s">
        <v>168</v>
      </c>
      <c r="B15" s="11" t="s">
        <v>166</v>
      </c>
      <c r="C15" s="11" t="s">
        <v>164</v>
      </c>
      <c r="D15" s="11" t="s">
        <v>167</v>
      </c>
      <c r="E15" s="11" t="s">
        <v>166</v>
      </c>
      <c r="F15" s="11" t="s">
        <v>166</v>
      </c>
      <c r="G15" s="11" t="s">
        <v>166</v>
      </c>
    </row>
    <row r="16" customFormat="false" ht="15" hidden="false" customHeight="false" outlineLevel="0" collapsed="false">
      <c r="A16" s="11" t="s">
        <v>169</v>
      </c>
      <c r="B16" s="11" t="s">
        <v>167</v>
      </c>
      <c r="C16" s="11" t="s">
        <v>166</v>
      </c>
      <c r="D16" s="11" t="s">
        <v>167</v>
      </c>
      <c r="E16" s="11" t="s">
        <v>166</v>
      </c>
      <c r="F16" s="11" t="s">
        <v>166</v>
      </c>
      <c r="G16" s="11" t="s">
        <v>170</v>
      </c>
    </row>
    <row r="17" customFormat="false" ht="15" hidden="false" customHeight="false" outlineLevel="0" collapsed="false">
      <c r="A17" s="11" t="s">
        <v>171</v>
      </c>
      <c r="B17" s="11" t="s">
        <v>170</v>
      </c>
      <c r="C17" s="11" t="s">
        <v>166</v>
      </c>
      <c r="D17" s="11" t="s">
        <v>172</v>
      </c>
      <c r="E17" s="11" t="s">
        <v>166</v>
      </c>
      <c r="F17" s="11" t="s">
        <v>166</v>
      </c>
      <c r="G17" s="11" t="s">
        <v>166</v>
      </c>
    </row>
    <row r="18" customFormat="false" ht="15" hidden="false" customHeight="false" outlineLevel="0" collapsed="false">
      <c r="A18" s="11" t="s">
        <v>173</v>
      </c>
      <c r="B18" s="11" t="s">
        <v>164</v>
      </c>
      <c r="C18" s="11" t="s">
        <v>167</v>
      </c>
      <c r="D18" s="11" t="s">
        <v>164</v>
      </c>
      <c r="E18" s="11" t="s">
        <v>167</v>
      </c>
      <c r="F18" s="11" t="s">
        <v>164</v>
      </c>
      <c r="G18" s="11" t="s">
        <v>166</v>
      </c>
    </row>
    <row r="19" customFormat="false" ht="15" hidden="false" customHeight="false" outlineLevel="0" collapsed="false">
      <c r="A19" s="11" t="s">
        <v>174</v>
      </c>
      <c r="B19" s="11" t="s">
        <v>166</v>
      </c>
      <c r="C19" s="11" t="s">
        <v>172</v>
      </c>
      <c r="D19" s="11" t="s">
        <v>166</v>
      </c>
      <c r="E19" s="11" t="s">
        <v>166</v>
      </c>
      <c r="F19" s="11" t="s">
        <v>166</v>
      </c>
      <c r="G19" s="11" t="s">
        <v>166</v>
      </c>
    </row>
    <row r="20" customFormat="false" ht="15" hidden="false" customHeight="false" outlineLevel="0" collapsed="false">
      <c r="A20" s="11" t="s">
        <v>175</v>
      </c>
      <c r="B20" s="11" t="s">
        <v>176</v>
      </c>
      <c r="C20" s="11" t="s">
        <v>176</v>
      </c>
      <c r="D20" s="11" t="s">
        <v>176</v>
      </c>
      <c r="E20" s="11" t="s">
        <v>176</v>
      </c>
      <c r="F20" s="11" t="s">
        <v>176</v>
      </c>
      <c r="G20" s="11" t="s">
        <v>166</v>
      </c>
    </row>
    <row r="21" customFormat="false" ht="15" hidden="false" customHeight="false" outlineLevel="0" collapsed="false">
      <c r="A21" s="11" t="s">
        <v>177</v>
      </c>
      <c r="B21" s="11" t="s">
        <v>176</v>
      </c>
      <c r="C21" s="11" t="s">
        <v>176</v>
      </c>
      <c r="D21" s="11" t="s">
        <v>176</v>
      </c>
      <c r="E21" s="11" t="s">
        <v>176</v>
      </c>
      <c r="F21" s="11" t="s">
        <v>176</v>
      </c>
      <c r="G21" s="11" t="s">
        <v>176</v>
      </c>
    </row>
    <row r="22" customFormat="false" ht="15" hidden="false" customHeight="false" outlineLevel="0" collapsed="false">
      <c r="A22" s="11" t="s">
        <v>178</v>
      </c>
      <c r="B22" s="11" t="s">
        <v>166</v>
      </c>
      <c r="C22" s="11" t="s">
        <v>176</v>
      </c>
      <c r="D22" s="11" t="s">
        <v>166</v>
      </c>
      <c r="E22" s="11" t="s">
        <v>176</v>
      </c>
      <c r="F22" s="11" t="s">
        <v>166</v>
      </c>
      <c r="G22" s="11" t="s">
        <v>176</v>
      </c>
    </row>
    <row r="23" customFormat="false" ht="15" hidden="false" customHeight="false" outlineLevel="0" collapsed="false">
      <c r="A23" s="11" t="s">
        <v>179</v>
      </c>
      <c r="B23" s="11" t="s">
        <v>166</v>
      </c>
      <c r="C23" s="11" t="s">
        <v>176</v>
      </c>
      <c r="D23" s="11" t="s">
        <v>176</v>
      </c>
      <c r="E23" s="11" t="s">
        <v>166</v>
      </c>
      <c r="F23" s="11" t="s">
        <v>167</v>
      </c>
      <c r="G23" s="11" t="s">
        <v>164</v>
      </c>
    </row>
    <row r="24" customFormat="false" ht="15" hidden="false" customHeight="false" outlineLevel="0" collapsed="false">
      <c r="A24" s="11" t="s">
        <v>180</v>
      </c>
      <c r="B24" s="11" t="s">
        <v>166</v>
      </c>
      <c r="C24" s="11" t="s">
        <v>176</v>
      </c>
      <c r="D24" s="11" t="s">
        <v>176</v>
      </c>
      <c r="E24" s="11" t="s">
        <v>176</v>
      </c>
      <c r="F24" s="11" t="s">
        <v>167</v>
      </c>
      <c r="G24" s="11" t="s">
        <v>164</v>
      </c>
    </row>
    <row r="25" customFormat="false" ht="15" hidden="false" customHeight="false" outlineLevel="0" collapsed="false">
      <c r="A25" s="11" t="s">
        <v>181</v>
      </c>
      <c r="B25" s="11" t="s">
        <v>176</v>
      </c>
      <c r="C25" s="11" t="s">
        <v>176</v>
      </c>
      <c r="D25" s="11" t="s">
        <v>166</v>
      </c>
      <c r="E25" s="11" t="s">
        <v>166</v>
      </c>
      <c r="F25" s="11" t="s">
        <v>176</v>
      </c>
      <c r="G25" s="11" t="s">
        <v>166</v>
      </c>
    </row>
    <row r="26" customFormat="false" ht="15" hidden="false" customHeight="false" outlineLevel="0" collapsed="false">
      <c r="A26" s="11" t="s">
        <v>182</v>
      </c>
      <c r="B26" s="11" t="s">
        <v>176</v>
      </c>
      <c r="C26" s="11" t="s">
        <v>176</v>
      </c>
      <c r="D26" s="11" t="s">
        <v>176</v>
      </c>
      <c r="E26" s="11" t="s">
        <v>166</v>
      </c>
      <c r="F26" s="11" t="s">
        <v>164</v>
      </c>
      <c r="G26" s="11" t="s">
        <v>176</v>
      </c>
    </row>
    <row r="27" customFormat="false" ht="23.85" hidden="false" customHeight="false" outlineLevel="0" collapsed="false">
      <c r="A27" s="11" t="s">
        <v>183</v>
      </c>
      <c r="B27" s="11" t="s">
        <v>176</v>
      </c>
      <c r="C27" s="11" t="s">
        <v>166</v>
      </c>
      <c r="D27" s="11" t="s">
        <v>176</v>
      </c>
      <c r="E27" s="11" t="s">
        <v>184</v>
      </c>
      <c r="F27" s="11" t="s">
        <v>176</v>
      </c>
      <c r="G27" s="11" t="s">
        <v>176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44"/>
    <col collapsed="false" customWidth="true" hidden="false" outlineLevel="0" max="4" min="4" style="0" width="32"/>
    <col collapsed="false" customWidth="true" hidden="false" outlineLevel="0" max="5" min="5" style="0" width="22"/>
    <col collapsed="false" customWidth="true" hidden="false" outlineLevel="0" max="6" min="6" style="0" width="52"/>
  </cols>
  <sheetData>
    <row r="1" customFormat="false" ht="17.35" hidden="false" customHeight="false" outlineLevel="0" collapsed="false">
      <c r="A1" s="9" t="s">
        <v>185</v>
      </c>
      <c r="B1" s="9"/>
      <c r="C1" s="9"/>
      <c r="D1" s="9"/>
      <c r="E1" s="9"/>
      <c r="F1" s="9"/>
    </row>
    <row r="2" customFormat="false" ht="17.35" hidden="false" customHeight="false" outlineLevel="0" collapsed="false">
      <c r="A2" s="10" t="s">
        <v>49</v>
      </c>
      <c r="B2" s="10" t="s">
        <v>186</v>
      </c>
      <c r="C2" s="10" t="s">
        <v>187</v>
      </c>
      <c r="D2" s="10" t="s">
        <v>188</v>
      </c>
      <c r="E2" s="10" t="s">
        <v>189</v>
      </c>
      <c r="F2" s="10" t="s">
        <v>43</v>
      </c>
    </row>
    <row r="3" customFormat="false" ht="15" hidden="false" customHeight="false" outlineLevel="0" collapsed="false">
      <c r="A3" s="12" t="s">
        <v>190</v>
      </c>
      <c r="B3" s="12" t="s">
        <v>191</v>
      </c>
      <c r="C3" s="12" t="s">
        <v>192</v>
      </c>
      <c r="D3" s="12" t="s">
        <v>193</v>
      </c>
      <c r="E3" s="12" t="s">
        <v>194</v>
      </c>
      <c r="F3" s="12" t="s">
        <v>195</v>
      </c>
    </row>
    <row r="4" customFormat="false" ht="15" hidden="false" customHeight="false" outlineLevel="0" collapsed="false">
      <c r="A4" s="12" t="s">
        <v>196</v>
      </c>
      <c r="B4" s="12" t="s">
        <v>197</v>
      </c>
      <c r="C4" s="12" t="s">
        <v>192</v>
      </c>
      <c r="D4" s="12" t="s">
        <v>198</v>
      </c>
      <c r="E4" s="12" t="s">
        <v>199</v>
      </c>
      <c r="F4" s="12" t="s">
        <v>200</v>
      </c>
    </row>
    <row r="5" customFormat="false" ht="15" hidden="false" customHeight="false" outlineLevel="0" collapsed="false">
      <c r="A5" s="12" t="s">
        <v>201</v>
      </c>
      <c r="B5" s="12" t="s">
        <v>202</v>
      </c>
      <c r="C5" s="12" t="s">
        <v>192</v>
      </c>
      <c r="D5" s="12" t="s">
        <v>203</v>
      </c>
      <c r="E5" s="12" t="s">
        <v>204</v>
      </c>
      <c r="F5" s="12" t="s">
        <v>205</v>
      </c>
    </row>
    <row r="6" customFormat="false" ht="15" hidden="false" customHeight="false" outlineLevel="0" collapsed="false">
      <c r="A6" s="12" t="s">
        <v>206</v>
      </c>
      <c r="B6" s="12" t="s">
        <v>207</v>
      </c>
      <c r="C6" s="12" t="s">
        <v>192</v>
      </c>
      <c r="D6" s="12" t="s">
        <v>208</v>
      </c>
      <c r="E6" s="12" t="s">
        <v>209</v>
      </c>
      <c r="F6" s="12" t="s">
        <v>210</v>
      </c>
    </row>
    <row r="7" customFormat="false" ht="15" hidden="false" customHeight="false" outlineLevel="0" collapsed="false">
      <c r="A7" s="12" t="s">
        <v>211</v>
      </c>
      <c r="B7" s="12" t="s">
        <v>212</v>
      </c>
      <c r="C7" s="12" t="s">
        <v>192</v>
      </c>
      <c r="D7" s="12" t="s">
        <v>213</v>
      </c>
      <c r="E7" s="12" t="s">
        <v>214</v>
      </c>
      <c r="F7" s="12" t="s">
        <v>215</v>
      </c>
    </row>
    <row r="8" customFormat="false" ht="15" hidden="false" customHeight="false" outlineLevel="0" collapsed="false">
      <c r="A8" s="12" t="s">
        <v>216</v>
      </c>
      <c r="B8" s="12" t="s">
        <v>217</v>
      </c>
      <c r="C8" s="12" t="s">
        <v>192</v>
      </c>
      <c r="D8" s="12" t="s">
        <v>218</v>
      </c>
      <c r="E8" s="12" t="s">
        <v>219</v>
      </c>
      <c r="F8" s="12" t="s">
        <v>220</v>
      </c>
    </row>
    <row r="9" customFormat="false" ht="15" hidden="false" customHeight="false" outlineLevel="0" collapsed="false">
      <c r="A9" s="13" t="s">
        <v>221</v>
      </c>
      <c r="B9" s="13" t="s">
        <v>222</v>
      </c>
      <c r="C9" s="13" t="s">
        <v>223</v>
      </c>
      <c r="D9" s="13" t="s">
        <v>176</v>
      </c>
      <c r="E9" s="13" t="s">
        <v>176</v>
      </c>
      <c r="F9" s="13" t="s">
        <v>224</v>
      </c>
    </row>
    <row r="10" customFormat="false" ht="15" hidden="false" customHeight="false" outlineLevel="0" collapsed="false">
      <c r="A10" s="13" t="s">
        <v>225</v>
      </c>
      <c r="B10" s="13" t="s">
        <v>226</v>
      </c>
      <c r="C10" s="13" t="s">
        <v>227</v>
      </c>
      <c r="D10" s="13" t="s">
        <v>176</v>
      </c>
      <c r="E10" s="13" t="s">
        <v>176</v>
      </c>
      <c r="F10" s="13" t="s">
        <v>228</v>
      </c>
    </row>
    <row r="11" customFormat="false" ht="15" hidden="false" customHeight="false" outlineLevel="0" collapsed="false">
      <c r="A11" s="14" t="s">
        <v>229</v>
      </c>
      <c r="B11" s="14" t="s">
        <v>230</v>
      </c>
      <c r="C11" s="14" t="s">
        <v>231</v>
      </c>
      <c r="D11" s="14" t="s">
        <v>232</v>
      </c>
      <c r="E11" s="14" t="s">
        <v>233</v>
      </c>
      <c r="F11" s="14" t="s">
        <v>234</v>
      </c>
    </row>
    <row r="12" customFormat="false" ht="23.85" hidden="false" customHeight="false" outlineLevel="0" collapsed="false">
      <c r="A12" s="12" t="s">
        <v>235</v>
      </c>
      <c r="B12" s="12" t="s">
        <v>236</v>
      </c>
      <c r="C12" s="12" t="s">
        <v>237</v>
      </c>
      <c r="D12" s="12" t="s">
        <v>238</v>
      </c>
      <c r="E12" s="12" t="s">
        <v>239</v>
      </c>
      <c r="F12" s="12" t="s">
        <v>240</v>
      </c>
    </row>
    <row r="13" customFormat="false" ht="15" hidden="false" customHeight="false" outlineLevel="0" collapsed="false">
      <c r="A13" s="12" t="s">
        <v>241</v>
      </c>
      <c r="B13" s="12" t="s">
        <v>242</v>
      </c>
      <c r="C13" s="12" t="s">
        <v>192</v>
      </c>
      <c r="D13" s="12" t="s">
        <v>243</v>
      </c>
      <c r="E13" s="12" t="s">
        <v>244</v>
      </c>
      <c r="F13" s="12" t="s">
        <v>245</v>
      </c>
    </row>
    <row r="14" customFormat="false" ht="15" hidden="false" customHeight="false" outlineLevel="0" collapsed="false">
      <c r="A14" s="12" t="s">
        <v>246</v>
      </c>
      <c r="B14" s="12" t="s">
        <v>247</v>
      </c>
      <c r="C14" s="12" t="s">
        <v>192</v>
      </c>
      <c r="D14" s="12" t="s">
        <v>248</v>
      </c>
      <c r="E14" s="12" t="s">
        <v>249</v>
      </c>
      <c r="F14" s="12" t="s">
        <v>250</v>
      </c>
    </row>
    <row r="15" customFormat="false" ht="15" hidden="false" customHeight="false" outlineLevel="0" collapsed="false">
      <c r="A15" s="12" t="s">
        <v>251</v>
      </c>
      <c r="B15" s="12" t="s">
        <v>252</v>
      </c>
      <c r="C15" s="12" t="s">
        <v>192</v>
      </c>
      <c r="D15" s="12" t="s">
        <v>253</v>
      </c>
      <c r="E15" s="12" t="s">
        <v>254</v>
      </c>
      <c r="F15" s="12" t="s">
        <v>255</v>
      </c>
    </row>
    <row r="16" customFormat="false" ht="23.85" hidden="false" customHeight="false" outlineLevel="0" collapsed="false">
      <c r="A16" s="14" t="s">
        <v>151</v>
      </c>
      <c r="B16" s="14" t="s">
        <v>256</v>
      </c>
      <c r="C16" s="14" t="s">
        <v>257</v>
      </c>
      <c r="D16" s="14" t="s">
        <v>258</v>
      </c>
      <c r="E16" s="14" t="s">
        <v>259</v>
      </c>
      <c r="F16" s="14" t="s">
        <v>47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6"/>
    <col collapsed="false" customWidth="true" hidden="false" outlineLevel="0" max="3" min="3" style="0" width="36"/>
    <col collapsed="false" customWidth="true" hidden="false" outlineLevel="0" max="4" min="4" style="0" width="52"/>
    <col collapsed="false" customWidth="true" hidden="false" outlineLevel="0" max="5" min="5" style="0" width="20"/>
  </cols>
  <sheetData>
    <row r="1" customFormat="false" ht="17.35" hidden="false" customHeight="false" outlineLevel="0" collapsed="false">
      <c r="A1" s="9" t="s">
        <v>19</v>
      </c>
      <c r="B1" s="9"/>
      <c r="C1" s="9"/>
      <c r="D1" s="9"/>
      <c r="E1" s="9"/>
    </row>
    <row r="2" customFormat="false" ht="32.8" hidden="false" customHeight="false" outlineLevel="0" collapsed="false">
      <c r="A2" s="10" t="s">
        <v>54</v>
      </c>
      <c r="B2" s="10" t="s">
        <v>260</v>
      </c>
      <c r="C2" s="10" t="s">
        <v>261</v>
      </c>
      <c r="D2" s="10" t="s">
        <v>187</v>
      </c>
      <c r="E2" s="10" t="s">
        <v>262</v>
      </c>
    </row>
    <row r="3" customFormat="false" ht="15" hidden="false" customHeight="false" outlineLevel="0" collapsed="false">
      <c r="A3" s="12" t="s">
        <v>263</v>
      </c>
      <c r="B3" s="12" t="s">
        <v>264</v>
      </c>
      <c r="C3" s="12" t="s">
        <v>265</v>
      </c>
      <c r="D3" s="12" t="s">
        <v>266</v>
      </c>
      <c r="E3" s="12" t="s">
        <v>135</v>
      </c>
    </row>
    <row r="4" customFormat="false" ht="15" hidden="false" customHeight="false" outlineLevel="0" collapsed="false">
      <c r="A4" s="12" t="s">
        <v>267</v>
      </c>
      <c r="B4" s="12" t="s">
        <v>268</v>
      </c>
      <c r="C4" s="12" t="s">
        <v>269</v>
      </c>
      <c r="D4" s="12" t="s">
        <v>192</v>
      </c>
      <c r="E4" s="12" t="s">
        <v>145</v>
      </c>
    </row>
    <row r="5" customFormat="false" ht="15" hidden="false" customHeight="false" outlineLevel="0" collapsed="false">
      <c r="A5" s="14" t="s">
        <v>270</v>
      </c>
      <c r="B5" s="14" t="s">
        <v>271</v>
      </c>
      <c r="C5" s="14" t="s">
        <v>272</v>
      </c>
      <c r="D5" s="14" t="s">
        <v>273</v>
      </c>
      <c r="E5" s="14" t="s">
        <v>274</v>
      </c>
    </row>
    <row r="6" customFormat="false" ht="15" hidden="false" customHeight="false" outlineLevel="0" collapsed="false">
      <c r="A6" s="12" t="s">
        <v>275</v>
      </c>
      <c r="B6" s="12" t="s">
        <v>276</v>
      </c>
      <c r="C6" s="12" t="s">
        <v>277</v>
      </c>
      <c r="D6" s="12" t="s">
        <v>192</v>
      </c>
      <c r="E6" s="12" t="s">
        <v>135</v>
      </c>
    </row>
    <row r="7" customFormat="false" ht="15" hidden="false" customHeight="false" outlineLevel="0" collapsed="false">
      <c r="A7" s="12" t="s">
        <v>278</v>
      </c>
      <c r="B7" s="12" t="s">
        <v>279</v>
      </c>
      <c r="C7" s="12" t="s">
        <v>280</v>
      </c>
      <c r="D7" s="12" t="s">
        <v>281</v>
      </c>
      <c r="E7" s="12" t="s">
        <v>282</v>
      </c>
    </row>
    <row r="8" customFormat="false" ht="15" hidden="false" customHeight="false" outlineLevel="0" collapsed="false">
      <c r="A8" s="12" t="s">
        <v>283</v>
      </c>
      <c r="B8" s="12" t="s">
        <v>284</v>
      </c>
      <c r="C8" s="12" t="s">
        <v>285</v>
      </c>
      <c r="D8" s="12" t="s">
        <v>286</v>
      </c>
      <c r="E8" s="12" t="s">
        <v>274</v>
      </c>
    </row>
    <row r="9" customFormat="false" ht="15" hidden="false" customHeight="false" outlineLevel="0" collapsed="false">
      <c r="A9" s="12" t="s">
        <v>287</v>
      </c>
      <c r="B9" s="12" t="s">
        <v>288</v>
      </c>
      <c r="C9" s="12" t="s">
        <v>289</v>
      </c>
      <c r="D9" s="12" t="s">
        <v>290</v>
      </c>
      <c r="E9" s="12" t="s">
        <v>291</v>
      </c>
    </row>
    <row r="10" customFormat="false" ht="15" hidden="false" customHeight="false" outlineLevel="0" collapsed="false">
      <c r="A10" s="12" t="s">
        <v>292</v>
      </c>
      <c r="B10" s="12" t="s">
        <v>293</v>
      </c>
      <c r="C10" s="12" t="s">
        <v>294</v>
      </c>
      <c r="D10" s="12" t="s">
        <v>192</v>
      </c>
      <c r="E10" s="12" t="s">
        <v>274</v>
      </c>
    </row>
    <row r="11" customFormat="false" ht="15" hidden="false" customHeight="false" outlineLevel="0" collapsed="false">
      <c r="A11" s="15" t="s">
        <v>295</v>
      </c>
      <c r="B11" s="15" t="s">
        <v>296</v>
      </c>
      <c r="C11" s="15" t="s">
        <v>297</v>
      </c>
      <c r="D11" s="15" t="s">
        <v>298</v>
      </c>
      <c r="E11" s="15" t="s">
        <v>135</v>
      </c>
    </row>
    <row r="12" customFormat="false" ht="15" hidden="false" customHeight="false" outlineLevel="0" collapsed="false">
      <c r="A12" s="13" t="s">
        <v>299</v>
      </c>
      <c r="B12" s="13" t="s">
        <v>300</v>
      </c>
      <c r="C12" s="13" t="s">
        <v>301</v>
      </c>
      <c r="D12" s="13" t="s">
        <v>302</v>
      </c>
      <c r="E12" s="13" t="s">
        <v>140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40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9" t="s">
        <v>303</v>
      </c>
      <c r="B1" s="9"/>
      <c r="C1" s="9"/>
      <c r="D1" s="9"/>
      <c r="E1" s="9"/>
      <c r="F1" s="9"/>
      <c r="G1" s="9"/>
      <c r="H1" s="9"/>
    </row>
    <row r="2" customFormat="false" ht="17.35" hidden="false" customHeight="false" outlineLevel="0" collapsed="false">
      <c r="A2" s="10" t="s">
        <v>304</v>
      </c>
      <c r="B2" s="10" t="s">
        <v>186</v>
      </c>
      <c r="C2" s="10" t="s">
        <v>305</v>
      </c>
      <c r="D2" s="10" t="s">
        <v>49</v>
      </c>
      <c r="E2" s="10" t="s">
        <v>306</v>
      </c>
      <c r="F2" s="10" t="s">
        <v>307</v>
      </c>
      <c r="G2" s="10" t="s">
        <v>187</v>
      </c>
      <c r="H2" s="10" t="s">
        <v>308</v>
      </c>
    </row>
    <row r="3" customFormat="false" ht="15" hidden="false" customHeight="false" outlineLevel="0" collapsed="false">
      <c r="A3" s="12" t="s">
        <v>309</v>
      </c>
      <c r="B3" s="12" t="s">
        <v>310</v>
      </c>
      <c r="C3" s="12" t="s">
        <v>140</v>
      </c>
      <c r="D3" s="12" t="s">
        <v>311</v>
      </c>
      <c r="E3" s="12" t="s">
        <v>176</v>
      </c>
      <c r="F3" s="12" t="s">
        <v>312</v>
      </c>
      <c r="G3" s="12" t="s">
        <v>192</v>
      </c>
      <c r="H3" s="12" t="s">
        <v>313</v>
      </c>
    </row>
    <row r="4" customFormat="false" ht="15" hidden="false" customHeight="false" outlineLevel="0" collapsed="false">
      <c r="A4" s="12" t="s">
        <v>314</v>
      </c>
      <c r="B4" s="12" t="s">
        <v>315</v>
      </c>
      <c r="C4" s="12" t="s">
        <v>140</v>
      </c>
      <c r="D4" s="12" t="s">
        <v>316</v>
      </c>
      <c r="E4" s="12" t="s">
        <v>176</v>
      </c>
      <c r="F4" s="12" t="s">
        <v>312</v>
      </c>
      <c r="G4" s="12" t="s">
        <v>192</v>
      </c>
      <c r="H4" s="12" t="s">
        <v>317</v>
      </c>
    </row>
    <row r="5" customFormat="false" ht="15" hidden="false" customHeight="false" outlineLevel="0" collapsed="false">
      <c r="A5" s="12" t="s">
        <v>318</v>
      </c>
      <c r="B5" s="12" t="s">
        <v>319</v>
      </c>
      <c r="C5" s="12" t="s">
        <v>320</v>
      </c>
      <c r="D5" s="12" t="s">
        <v>196</v>
      </c>
      <c r="E5" s="12" t="s">
        <v>321</v>
      </c>
      <c r="F5" s="12" t="s">
        <v>176</v>
      </c>
      <c r="G5" s="12" t="s">
        <v>192</v>
      </c>
      <c r="H5" s="12" t="s">
        <v>322</v>
      </c>
    </row>
    <row r="6" customFormat="false" ht="15" hidden="false" customHeight="false" outlineLevel="0" collapsed="false">
      <c r="A6" s="12" t="s">
        <v>323</v>
      </c>
      <c r="B6" s="12" t="s">
        <v>324</v>
      </c>
      <c r="C6" s="12" t="s">
        <v>320</v>
      </c>
      <c r="D6" s="12" t="s">
        <v>196</v>
      </c>
      <c r="E6" s="12" t="s">
        <v>176</v>
      </c>
      <c r="F6" s="12" t="s">
        <v>312</v>
      </c>
      <c r="G6" s="12" t="s">
        <v>192</v>
      </c>
      <c r="H6" s="12" t="s">
        <v>325</v>
      </c>
    </row>
    <row r="7" customFormat="false" ht="15" hidden="false" customHeight="false" outlineLevel="0" collapsed="false">
      <c r="A7" s="12" t="s">
        <v>326</v>
      </c>
      <c r="B7" s="12" t="s">
        <v>327</v>
      </c>
      <c r="C7" s="12" t="s">
        <v>320</v>
      </c>
      <c r="D7" s="12" t="s">
        <v>201</v>
      </c>
      <c r="E7" s="12" t="s">
        <v>176</v>
      </c>
      <c r="F7" s="12" t="s">
        <v>312</v>
      </c>
      <c r="G7" s="12" t="s">
        <v>192</v>
      </c>
      <c r="H7" s="12" t="s">
        <v>203</v>
      </c>
    </row>
    <row r="8" customFormat="false" ht="15" hidden="false" customHeight="false" outlineLevel="0" collapsed="false">
      <c r="A8" s="12" t="s">
        <v>328</v>
      </c>
      <c r="B8" s="12" t="s">
        <v>329</v>
      </c>
      <c r="C8" s="12" t="s">
        <v>140</v>
      </c>
      <c r="D8" s="12" t="s">
        <v>330</v>
      </c>
      <c r="E8" s="12" t="s">
        <v>176</v>
      </c>
      <c r="F8" s="12" t="s">
        <v>312</v>
      </c>
      <c r="G8" s="12" t="s">
        <v>331</v>
      </c>
      <c r="H8" s="12" t="s">
        <v>203</v>
      </c>
    </row>
    <row r="9" customFormat="false" ht="15" hidden="false" customHeight="false" outlineLevel="0" collapsed="false">
      <c r="A9" s="14" t="s">
        <v>332</v>
      </c>
      <c r="B9" s="14" t="s">
        <v>333</v>
      </c>
      <c r="C9" s="14" t="s">
        <v>135</v>
      </c>
      <c r="D9" s="14" t="s">
        <v>190</v>
      </c>
      <c r="E9" s="14" t="s">
        <v>334</v>
      </c>
      <c r="F9" s="14" t="s">
        <v>335</v>
      </c>
      <c r="G9" s="14" t="s">
        <v>336</v>
      </c>
      <c r="H9" s="14" t="s">
        <v>337</v>
      </c>
    </row>
    <row r="10" customFormat="false" ht="15" hidden="false" customHeight="false" outlineLevel="0" collapsed="false">
      <c r="A10" s="14" t="s">
        <v>338</v>
      </c>
      <c r="B10" s="14" t="s">
        <v>339</v>
      </c>
      <c r="C10" s="14" t="s">
        <v>320</v>
      </c>
      <c r="D10" s="14" t="s">
        <v>340</v>
      </c>
      <c r="E10" s="14" t="s">
        <v>321</v>
      </c>
      <c r="F10" s="14" t="s">
        <v>341</v>
      </c>
      <c r="G10" s="14" t="s">
        <v>342</v>
      </c>
      <c r="H10" s="14" t="s">
        <v>337</v>
      </c>
    </row>
    <row r="11" customFormat="false" ht="15" hidden="false" customHeight="false" outlineLevel="0" collapsed="false">
      <c r="A11" s="12" t="s">
        <v>343</v>
      </c>
      <c r="B11" s="12" t="s">
        <v>344</v>
      </c>
      <c r="C11" s="12" t="s">
        <v>320</v>
      </c>
      <c r="D11" s="12" t="s">
        <v>206</v>
      </c>
      <c r="E11" s="12" t="s">
        <v>176</v>
      </c>
      <c r="F11" s="12" t="s">
        <v>312</v>
      </c>
      <c r="G11" s="12" t="s">
        <v>192</v>
      </c>
      <c r="H11" s="12" t="s">
        <v>345</v>
      </c>
    </row>
    <row r="12" customFormat="false" ht="15" hidden="false" customHeight="false" outlineLevel="0" collapsed="false">
      <c r="A12" s="12" t="s">
        <v>346</v>
      </c>
      <c r="B12" s="12" t="s">
        <v>347</v>
      </c>
      <c r="C12" s="12" t="s">
        <v>135</v>
      </c>
      <c r="D12" s="12" t="s">
        <v>206</v>
      </c>
      <c r="E12" s="12" t="s">
        <v>176</v>
      </c>
      <c r="F12" s="12" t="s">
        <v>176</v>
      </c>
      <c r="G12" s="12" t="s">
        <v>192</v>
      </c>
      <c r="H12" s="12" t="s">
        <v>348</v>
      </c>
    </row>
    <row r="13" customFormat="false" ht="15" hidden="false" customHeight="false" outlineLevel="0" collapsed="false">
      <c r="A13" s="12" t="s">
        <v>349</v>
      </c>
      <c r="B13" s="12" t="s">
        <v>350</v>
      </c>
      <c r="C13" s="12" t="s">
        <v>135</v>
      </c>
      <c r="D13" s="12" t="s">
        <v>351</v>
      </c>
      <c r="E13" s="12" t="s">
        <v>352</v>
      </c>
      <c r="F13" s="12" t="s">
        <v>353</v>
      </c>
      <c r="G13" s="12" t="s">
        <v>192</v>
      </c>
      <c r="H13" s="12" t="s">
        <v>243</v>
      </c>
    </row>
    <row r="14" customFormat="false" ht="15" hidden="false" customHeight="false" outlineLevel="0" collapsed="false">
      <c r="A14" s="12" t="s">
        <v>354</v>
      </c>
      <c r="B14" s="12" t="s">
        <v>355</v>
      </c>
      <c r="C14" s="12" t="s">
        <v>320</v>
      </c>
      <c r="D14" s="12" t="s">
        <v>206</v>
      </c>
      <c r="E14" s="12" t="s">
        <v>176</v>
      </c>
      <c r="F14" s="12" t="s">
        <v>176</v>
      </c>
      <c r="G14" s="12" t="s">
        <v>192</v>
      </c>
      <c r="H14" s="12" t="s">
        <v>345</v>
      </c>
    </row>
    <row r="15" customFormat="false" ht="15" hidden="false" customHeight="false" outlineLevel="0" collapsed="false">
      <c r="A15" s="12" t="s">
        <v>356</v>
      </c>
      <c r="B15" s="12" t="s">
        <v>357</v>
      </c>
      <c r="C15" s="12" t="s">
        <v>358</v>
      </c>
      <c r="D15" s="12" t="s">
        <v>216</v>
      </c>
      <c r="E15" s="12" t="s">
        <v>176</v>
      </c>
      <c r="F15" s="12" t="s">
        <v>176</v>
      </c>
      <c r="G15" s="12" t="s">
        <v>192</v>
      </c>
      <c r="H15" s="12" t="s">
        <v>322</v>
      </c>
    </row>
    <row r="16" customFormat="false" ht="15" hidden="false" customHeight="false" outlineLevel="0" collapsed="false">
      <c r="A16" s="12" t="s">
        <v>359</v>
      </c>
      <c r="B16" s="12" t="s">
        <v>360</v>
      </c>
      <c r="C16" s="12" t="s">
        <v>140</v>
      </c>
      <c r="D16" s="12" t="s">
        <v>216</v>
      </c>
      <c r="E16" s="12" t="s">
        <v>361</v>
      </c>
      <c r="F16" s="12" t="s">
        <v>362</v>
      </c>
      <c r="G16" s="12" t="s">
        <v>192</v>
      </c>
      <c r="H16" s="12" t="s">
        <v>363</v>
      </c>
    </row>
    <row r="17" customFormat="false" ht="15" hidden="false" customHeight="false" outlineLevel="0" collapsed="false">
      <c r="A17" s="12" t="s">
        <v>364</v>
      </c>
      <c r="B17" s="12" t="s">
        <v>365</v>
      </c>
      <c r="C17" s="12" t="s">
        <v>358</v>
      </c>
      <c r="D17" s="12" t="s">
        <v>216</v>
      </c>
      <c r="E17" s="12" t="s">
        <v>176</v>
      </c>
      <c r="F17" s="12" t="s">
        <v>176</v>
      </c>
      <c r="G17" s="12" t="s">
        <v>192</v>
      </c>
      <c r="H17" s="12" t="s">
        <v>366</v>
      </c>
    </row>
    <row r="18" customFormat="false" ht="15" hidden="false" customHeight="false" outlineLevel="0" collapsed="false">
      <c r="A18" s="12" t="s">
        <v>367</v>
      </c>
      <c r="B18" s="12" t="s">
        <v>368</v>
      </c>
      <c r="C18" s="12" t="s">
        <v>320</v>
      </c>
      <c r="D18" s="12" t="s">
        <v>216</v>
      </c>
      <c r="E18" s="12" t="s">
        <v>361</v>
      </c>
      <c r="F18" s="12" t="s">
        <v>362</v>
      </c>
      <c r="G18" s="12" t="s">
        <v>192</v>
      </c>
      <c r="H18" s="12" t="s">
        <v>369</v>
      </c>
    </row>
    <row r="19" customFormat="false" ht="15" hidden="false" customHeight="false" outlineLevel="0" collapsed="false">
      <c r="A19" s="12" t="s">
        <v>370</v>
      </c>
      <c r="B19" s="12" t="s">
        <v>371</v>
      </c>
      <c r="C19" s="12" t="s">
        <v>135</v>
      </c>
      <c r="D19" s="12" t="s">
        <v>211</v>
      </c>
      <c r="E19" s="12" t="s">
        <v>372</v>
      </c>
      <c r="F19" s="12" t="s">
        <v>373</v>
      </c>
      <c r="G19" s="12" t="s">
        <v>192</v>
      </c>
      <c r="H19" s="12" t="s">
        <v>374</v>
      </c>
    </row>
    <row r="20" customFormat="false" ht="15" hidden="false" customHeight="false" outlineLevel="0" collapsed="false">
      <c r="A20" s="12" t="s">
        <v>375</v>
      </c>
      <c r="B20" s="12" t="s">
        <v>376</v>
      </c>
      <c r="C20" s="12" t="s">
        <v>135</v>
      </c>
      <c r="D20" s="12" t="s">
        <v>211</v>
      </c>
      <c r="E20" s="12" t="s">
        <v>372</v>
      </c>
      <c r="F20" s="12" t="s">
        <v>373</v>
      </c>
      <c r="G20" s="12" t="s">
        <v>192</v>
      </c>
      <c r="H20" s="12" t="s">
        <v>377</v>
      </c>
    </row>
    <row r="21" customFormat="false" ht="15" hidden="false" customHeight="false" outlineLevel="0" collapsed="false">
      <c r="A21" s="15" t="s">
        <v>378</v>
      </c>
      <c r="B21" s="15" t="s">
        <v>379</v>
      </c>
      <c r="C21" s="15" t="s">
        <v>135</v>
      </c>
      <c r="D21" s="15" t="s">
        <v>380</v>
      </c>
      <c r="E21" s="15" t="s">
        <v>372</v>
      </c>
      <c r="F21" s="15" t="s">
        <v>373</v>
      </c>
      <c r="G21" s="15" t="s">
        <v>381</v>
      </c>
      <c r="H21" s="15" t="s">
        <v>382</v>
      </c>
    </row>
    <row r="22" customFormat="false" ht="15" hidden="false" customHeight="false" outlineLevel="0" collapsed="false">
      <c r="A22" s="12" t="s">
        <v>383</v>
      </c>
      <c r="B22" s="12" t="s">
        <v>384</v>
      </c>
      <c r="C22" s="12" t="s">
        <v>358</v>
      </c>
      <c r="D22" s="12" t="s">
        <v>385</v>
      </c>
      <c r="E22" s="12" t="s">
        <v>176</v>
      </c>
      <c r="F22" s="12" t="s">
        <v>176</v>
      </c>
      <c r="G22" s="12" t="s">
        <v>192</v>
      </c>
      <c r="H22" s="12" t="s">
        <v>374</v>
      </c>
    </row>
    <row r="23" customFormat="false" ht="15" hidden="false" customHeight="false" outlineLevel="0" collapsed="false">
      <c r="A23" s="12" t="s">
        <v>386</v>
      </c>
      <c r="B23" s="12" t="s">
        <v>387</v>
      </c>
      <c r="C23" s="12" t="s">
        <v>274</v>
      </c>
      <c r="D23" s="12" t="s">
        <v>246</v>
      </c>
      <c r="E23" s="12" t="s">
        <v>176</v>
      </c>
      <c r="F23" s="12" t="s">
        <v>388</v>
      </c>
      <c r="G23" s="12" t="s">
        <v>192</v>
      </c>
      <c r="H23" s="12" t="s">
        <v>248</v>
      </c>
    </row>
    <row r="24" customFormat="false" ht="15" hidden="false" customHeight="false" outlineLevel="0" collapsed="false">
      <c r="A24" s="12" t="s">
        <v>389</v>
      </c>
      <c r="B24" s="12" t="s">
        <v>390</v>
      </c>
      <c r="C24" s="12" t="s">
        <v>274</v>
      </c>
      <c r="D24" s="12" t="s">
        <v>246</v>
      </c>
      <c r="E24" s="12" t="s">
        <v>176</v>
      </c>
      <c r="F24" s="12" t="s">
        <v>391</v>
      </c>
      <c r="G24" s="12" t="s">
        <v>192</v>
      </c>
      <c r="H24" s="12" t="s">
        <v>248</v>
      </c>
    </row>
    <row r="25" customFormat="false" ht="15" hidden="false" customHeight="false" outlineLevel="0" collapsed="false">
      <c r="A25" s="15" t="s">
        <v>392</v>
      </c>
      <c r="B25" s="15" t="s">
        <v>393</v>
      </c>
      <c r="C25" s="15" t="s">
        <v>274</v>
      </c>
      <c r="D25" s="15" t="s">
        <v>394</v>
      </c>
      <c r="E25" s="15" t="s">
        <v>395</v>
      </c>
      <c r="F25" s="15" t="s">
        <v>388</v>
      </c>
      <c r="G25" s="15" t="s">
        <v>396</v>
      </c>
      <c r="H25" s="15" t="s">
        <v>176</v>
      </c>
    </row>
    <row r="26" customFormat="false" ht="15" hidden="false" customHeight="false" outlineLevel="0" collapsed="false">
      <c r="A26" s="13" t="s">
        <v>397</v>
      </c>
      <c r="B26" s="13" t="s">
        <v>398</v>
      </c>
      <c r="C26" s="13" t="s">
        <v>274</v>
      </c>
      <c r="D26" s="13" t="s">
        <v>221</v>
      </c>
      <c r="E26" s="13" t="s">
        <v>176</v>
      </c>
      <c r="F26" s="13" t="s">
        <v>176</v>
      </c>
      <c r="G26" s="13" t="s">
        <v>223</v>
      </c>
      <c r="H26" s="13" t="s">
        <v>176</v>
      </c>
    </row>
    <row r="27" customFormat="false" ht="15" hidden="false" customHeight="false" outlineLevel="0" collapsed="false">
      <c r="A27" s="12" t="s">
        <v>399</v>
      </c>
      <c r="B27" s="12" t="s">
        <v>400</v>
      </c>
      <c r="C27" s="12" t="s">
        <v>291</v>
      </c>
      <c r="D27" s="12" t="s">
        <v>251</v>
      </c>
      <c r="E27" s="12" t="s">
        <v>176</v>
      </c>
      <c r="F27" s="12" t="s">
        <v>401</v>
      </c>
      <c r="G27" s="12" t="s">
        <v>192</v>
      </c>
      <c r="H27" s="12" t="s">
        <v>253</v>
      </c>
    </row>
    <row r="28" customFormat="false" ht="15" hidden="false" customHeight="false" outlineLevel="0" collapsed="false">
      <c r="A28" s="15" t="s">
        <v>402</v>
      </c>
      <c r="B28" s="15" t="s">
        <v>403</v>
      </c>
      <c r="C28" s="15" t="s">
        <v>291</v>
      </c>
      <c r="D28" s="15" t="s">
        <v>404</v>
      </c>
      <c r="E28" s="15" t="s">
        <v>405</v>
      </c>
      <c r="F28" s="15" t="s">
        <v>406</v>
      </c>
      <c r="G28" s="15" t="s">
        <v>407</v>
      </c>
      <c r="H28" s="15" t="s">
        <v>176</v>
      </c>
    </row>
    <row r="29" customFormat="false" ht="15" hidden="false" customHeight="false" outlineLevel="0" collapsed="false">
      <c r="A29" s="13" t="s">
        <v>408</v>
      </c>
      <c r="B29" s="13" t="s">
        <v>409</v>
      </c>
      <c r="C29" s="13" t="s">
        <v>135</v>
      </c>
      <c r="D29" s="13" t="s">
        <v>235</v>
      </c>
      <c r="E29" s="13" t="s">
        <v>176</v>
      </c>
      <c r="F29" s="13" t="s">
        <v>353</v>
      </c>
      <c r="G29" s="13" t="s">
        <v>227</v>
      </c>
      <c r="H29" s="13" t="s">
        <v>176</v>
      </c>
    </row>
    <row r="30" customFormat="false" ht="15" hidden="false" customHeight="false" outlineLevel="0" collapsed="false">
      <c r="A30" s="15" t="s">
        <v>410</v>
      </c>
      <c r="B30" s="15" t="s">
        <v>411</v>
      </c>
      <c r="C30" s="15" t="s">
        <v>412</v>
      </c>
      <c r="D30" s="15" t="s">
        <v>151</v>
      </c>
      <c r="E30" s="15" t="s">
        <v>413</v>
      </c>
      <c r="F30" s="15" t="s">
        <v>176</v>
      </c>
      <c r="G30" s="15" t="s">
        <v>414</v>
      </c>
      <c r="H30" s="15" t="s">
        <v>176</v>
      </c>
    </row>
    <row r="31" customFormat="false" ht="15" hidden="false" customHeight="false" outlineLevel="0" collapsed="false">
      <c r="A31" s="15" t="s">
        <v>415</v>
      </c>
      <c r="B31" s="15" t="s">
        <v>416</v>
      </c>
      <c r="C31" s="15" t="s">
        <v>135</v>
      </c>
      <c r="D31" s="15" t="s">
        <v>151</v>
      </c>
      <c r="E31" s="15" t="s">
        <v>334</v>
      </c>
      <c r="F31" s="15" t="s">
        <v>335</v>
      </c>
      <c r="G31" s="15" t="s">
        <v>417</v>
      </c>
      <c r="H31" s="15" t="s">
        <v>176</v>
      </c>
    </row>
    <row r="32" customFormat="false" ht="15" hidden="false" customHeight="false" outlineLevel="0" collapsed="false">
      <c r="A32" s="15" t="s">
        <v>418</v>
      </c>
      <c r="B32" s="15" t="s">
        <v>419</v>
      </c>
      <c r="C32" s="15" t="s">
        <v>320</v>
      </c>
      <c r="D32" s="15" t="s">
        <v>151</v>
      </c>
      <c r="E32" s="15" t="s">
        <v>321</v>
      </c>
      <c r="F32" s="15" t="s">
        <v>341</v>
      </c>
      <c r="G32" s="15" t="s">
        <v>420</v>
      </c>
      <c r="H32" s="15" t="s">
        <v>176</v>
      </c>
    </row>
    <row r="33" customFormat="false" ht="15" hidden="false" customHeight="false" outlineLevel="0" collapsed="false">
      <c r="A33" s="15" t="s">
        <v>421</v>
      </c>
      <c r="B33" s="15" t="s">
        <v>422</v>
      </c>
      <c r="C33" s="15" t="s">
        <v>135</v>
      </c>
      <c r="D33" s="15" t="s">
        <v>151</v>
      </c>
      <c r="E33" s="15" t="s">
        <v>412</v>
      </c>
      <c r="F33" s="15" t="s">
        <v>176</v>
      </c>
      <c r="G33" s="15" t="s">
        <v>423</v>
      </c>
      <c r="H33" s="15" t="s">
        <v>176</v>
      </c>
    </row>
    <row r="34" customFormat="false" ht="15" hidden="false" customHeight="false" outlineLevel="0" collapsed="false">
      <c r="A34" s="13" t="s">
        <v>301</v>
      </c>
      <c r="B34" s="13" t="s">
        <v>424</v>
      </c>
      <c r="C34" s="13" t="s">
        <v>140</v>
      </c>
      <c r="D34" s="13" t="s">
        <v>425</v>
      </c>
      <c r="E34" s="13" t="s">
        <v>426</v>
      </c>
      <c r="F34" s="13" t="s">
        <v>427</v>
      </c>
      <c r="G34" s="13" t="s">
        <v>302</v>
      </c>
      <c r="H34" s="13" t="s">
        <v>176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  <col collapsed="false" customWidth="true" hidden="false" outlineLevel="0" max="7" min="7" style="0" width="38"/>
  </cols>
  <sheetData>
    <row r="1" customFormat="false" ht="17.35" hidden="false" customHeight="false" outlineLevel="0" collapsed="false">
      <c r="A1" s="9" t="s">
        <v>428</v>
      </c>
      <c r="B1" s="9"/>
      <c r="C1" s="9"/>
      <c r="D1" s="9"/>
      <c r="E1" s="9"/>
      <c r="F1" s="9"/>
      <c r="G1" s="9"/>
    </row>
    <row r="2" customFormat="false" ht="17.35" hidden="false" customHeight="false" outlineLevel="0" collapsed="false">
      <c r="A2" s="10" t="s">
        <v>306</v>
      </c>
      <c r="B2" s="10" t="s">
        <v>186</v>
      </c>
      <c r="C2" s="10" t="s">
        <v>429</v>
      </c>
      <c r="D2" s="10" t="s">
        <v>305</v>
      </c>
      <c r="E2" s="10" t="s">
        <v>187</v>
      </c>
      <c r="F2" s="10" t="s">
        <v>307</v>
      </c>
      <c r="G2" s="10" t="s">
        <v>43</v>
      </c>
    </row>
    <row r="3" customFormat="false" ht="15" hidden="false" customHeight="false" outlineLevel="0" collapsed="false">
      <c r="A3" s="15" t="s">
        <v>413</v>
      </c>
      <c r="B3" s="15" t="s">
        <v>430</v>
      </c>
      <c r="C3" s="15" t="s">
        <v>431</v>
      </c>
      <c r="D3" s="15" t="s">
        <v>412</v>
      </c>
      <c r="E3" s="15" t="s">
        <v>298</v>
      </c>
      <c r="F3" s="15" t="s">
        <v>432</v>
      </c>
      <c r="G3" s="15" t="s">
        <v>433</v>
      </c>
    </row>
    <row r="4" customFormat="false" ht="15" hidden="false" customHeight="false" outlineLevel="0" collapsed="false">
      <c r="A4" s="14" t="s">
        <v>334</v>
      </c>
      <c r="B4" s="14" t="s">
        <v>434</v>
      </c>
      <c r="C4" s="14" t="s">
        <v>435</v>
      </c>
      <c r="D4" s="14" t="s">
        <v>436</v>
      </c>
      <c r="E4" s="14" t="s">
        <v>437</v>
      </c>
      <c r="F4" s="14" t="s">
        <v>335</v>
      </c>
      <c r="G4" s="14" t="s">
        <v>67</v>
      </c>
    </row>
    <row r="5" customFormat="false" ht="15" hidden="false" customHeight="false" outlineLevel="0" collapsed="false">
      <c r="A5" s="14" t="s">
        <v>321</v>
      </c>
      <c r="B5" s="14" t="s">
        <v>438</v>
      </c>
      <c r="C5" s="14" t="s">
        <v>439</v>
      </c>
      <c r="D5" s="14" t="s">
        <v>440</v>
      </c>
      <c r="E5" s="14" t="s">
        <v>441</v>
      </c>
      <c r="F5" s="14" t="s">
        <v>341</v>
      </c>
      <c r="G5" s="14" t="s">
        <v>442</v>
      </c>
    </row>
    <row r="6" customFormat="false" ht="15" hidden="false" customHeight="false" outlineLevel="0" collapsed="false">
      <c r="A6" s="14" t="s">
        <v>372</v>
      </c>
      <c r="B6" s="14" t="s">
        <v>443</v>
      </c>
      <c r="C6" s="14" t="s">
        <v>444</v>
      </c>
      <c r="D6" s="14" t="s">
        <v>445</v>
      </c>
      <c r="E6" s="14" t="s">
        <v>446</v>
      </c>
      <c r="F6" s="14" t="s">
        <v>373</v>
      </c>
      <c r="G6" s="14" t="s">
        <v>447</v>
      </c>
    </row>
    <row r="7" customFormat="false" ht="15" hidden="false" customHeight="false" outlineLevel="0" collapsed="false">
      <c r="A7" s="15" t="s">
        <v>361</v>
      </c>
      <c r="B7" s="15" t="s">
        <v>448</v>
      </c>
      <c r="C7" s="15" t="s">
        <v>449</v>
      </c>
      <c r="D7" s="15" t="s">
        <v>450</v>
      </c>
      <c r="E7" s="15" t="s">
        <v>451</v>
      </c>
      <c r="F7" s="15" t="s">
        <v>362</v>
      </c>
      <c r="G7" s="15" t="s">
        <v>452</v>
      </c>
    </row>
    <row r="8" customFormat="false" ht="15" hidden="false" customHeight="false" outlineLevel="0" collapsed="false">
      <c r="A8" s="15" t="s">
        <v>395</v>
      </c>
      <c r="B8" s="15" t="s">
        <v>453</v>
      </c>
      <c r="C8" s="15" t="s">
        <v>454</v>
      </c>
      <c r="D8" s="15" t="s">
        <v>274</v>
      </c>
      <c r="E8" s="15" t="s">
        <v>396</v>
      </c>
      <c r="F8" s="15" t="s">
        <v>455</v>
      </c>
      <c r="G8" s="15" t="s">
        <v>176</v>
      </c>
    </row>
    <row r="9" customFormat="false" ht="15" hidden="false" customHeight="false" outlineLevel="0" collapsed="false">
      <c r="A9" s="15" t="s">
        <v>405</v>
      </c>
      <c r="B9" s="15" t="s">
        <v>456</v>
      </c>
      <c r="C9" s="15" t="s">
        <v>457</v>
      </c>
      <c r="D9" s="15" t="s">
        <v>458</v>
      </c>
      <c r="E9" s="15" t="s">
        <v>407</v>
      </c>
      <c r="F9" s="15" t="s">
        <v>406</v>
      </c>
      <c r="G9" s="15" t="s">
        <v>459</v>
      </c>
    </row>
    <row r="10" customFormat="false" ht="15" hidden="false" customHeight="false" outlineLevel="0" collapsed="false">
      <c r="A10" s="15" t="s">
        <v>352</v>
      </c>
      <c r="B10" s="15" t="s">
        <v>460</v>
      </c>
      <c r="C10" s="15" t="s">
        <v>461</v>
      </c>
      <c r="D10" s="15" t="s">
        <v>462</v>
      </c>
      <c r="E10" s="15" t="s">
        <v>463</v>
      </c>
      <c r="F10" s="15" t="s">
        <v>353</v>
      </c>
      <c r="G10" s="15" t="s">
        <v>464</v>
      </c>
    </row>
    <row r="11" customFormat="false" ht="15" hidden="false" customHeight="false" outlineLevel="0" collapsed="false">
      <c r="A11" s="15" t="s">
        <v>426</v>
      </c>
      <c r="B11" s="15" t="s">
        <v>465</v>
      </c>
      <c r="C11" s="15" t="s">
        <v>466</v>
      </c>
      <c r="D11" s="15" t="s">
        <v>412</v>
      </c>
      <c r="E11" s="15" t="s">
        <v>467</v>
      </c>
      <c r="F11" s="15" t="s">
        <v>427</v>
      </c>
      <c r="G11" s="15" t="s">
        <v>468</v>
      </c>
    </row>
    <row r="12" customFormat="false" ht="15" hidden="false" customHeight="false" outlineLevel="0" collapsed="false">
      <c r="A12" s="15" t="s">
        <v>469</v>
      </c>
      <c r="B12" s="15" t="s">
        <v>470</v>
      </c>
      <c r="C12" s="15" t="s">
        <v>471</v>
      </c>
      <c r="D12" s="15" t="s">
        <v>140</v>
      </c>
      <c r="E12" s="15" t="s">
        <v>472</v>
      </c>
      <c r="F12" s="15" t="s">
        <v>473</v>
      </c>
      <c r="G12" s="15" t="s">
        <v>474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40"/>
    <col collapsed="false" customWidth="true" hidden="false" outlineLevel="0" max="4" min="4" style="0" width="34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20"/>
  </cols>
  <sheetData>
    <row r="1" customFormat="false" ht="17.35" hidden="false" customHeight="false" outlineLevel="0" collapsed="false">
      <c r="A1" s="9" t="s">
        <v>25</v>
      </c>
      <c r="B1" s="9"/>
      <c r="C1" s="9"/>
      <c r="D1" s="9"/>
      <c r="E1" s="9"/>
      <c r="F1" s="9"/>
      <c r="G1" s="9"/>
    </row>
    <row r="2" customFormat="false" ht="17.35" hidden="false" customHeight="false" outlineLevel="0" collapsed="false">
      <c r="A2" s="10" t="s">
        <v>307</v>
      </c>
      <c r="B2" s="10" t="s">
        <v>475</v>
      </c>
      <c r="C2" s="10" t="s">
        <v>476</v>
      </c>
      <c r="D2" s="10" t="s">
        <v>477</v>
      </c>
      <c r="E2" s="10" t="s">
        <v>478</v>
      </c>
      <c r="F2" s="10" t="s">
        <v>479</v>
      </c>
      <c r="G2" s="10" t="s">
        <v>480</v>
      </c>
    </row>
    <row r="3" customFormat="false" ht="23.85" hidden="false" customHeight="false" outlineLevel="0" collapsed="false">
      <c r="A3" s="11" t="s">
        <v>312</v>
      </c>
      <c r="B3" s="11" t="s">
        <v>481</v>
      </c>
      <c r="C3" s="11" t="s">
        <v>482</v>
      </c>
      <c r="D3" s="11" t="s">
        <v>483</v>
      </c>
      <c r="E3" s="11" t="s">
        <v>484</v>
      </c>
      <c r="F3" s="11" t="s">
        <v>485</v>
      </c>
      <c r="G3" s="11" t="s">
        <v>486</v>
      </c>
    </row>
    <row r="4" customFormat="false" ht="15" hidden="false" customHeight="false" outlineLevel="0" collapsed="false">
      <c r="A4" s="11" t="s">
        <v>335</v>
      </c>
      <c r="B4" s="11" t="s">
        <v>487</v>
      </c>
      <c r="C4" s="11" t="s">
        <v>488</v>
      </c>
      <c r="D4" s="11" t="s">
        <v>489</v>
      </c>
      <c r="E4" s="11" t="s">
        <v>490</v>
      </c>
      <c r="F4" s="11" t="s">
        <v>491</v>
      </c>
      <c r="G4" s="11" t="s">
        <v>492</v>
      </c>
    </row>
    <row r="5" customFormat="false" ht="15" hidden="false" customHeight="false" outlineLevel="0" collapsed="false">
      <c r="A5" s="11" t="s">
        <v>341</v>
      </c>
      <c r="B5" s="11" t="s">
        <v>493</v>
      </c>
      <c r="C5" s="11" t="s">
        <v>494</v>
      </c>
      <c r="D5" s="11" t="s">
        <v>495</v>
      </c>
      <c r="E5" s="11" t="s">
        <v>490</v>
      </c>
      <c r="F5" s="11" t="s">
        <v>491</v>
      </c>
      <c r="G5" s="11" t="s">
        <v>492</v>
      </c>
    </row>
    <row r="6" customFormat="false" ht="23.85" hidden="false" customHeight="false" outlineLevel="0" collapsed="false">
      <c r="A6" s="11" t="s">
        <v>373</v>
      </c>
      <c r="B6" s="11" t="s">
        <v>496</v>
      </c>
      <c r="C6" s="11" t="s">
        <v>497</v>
      </c>
      <c r="D6" s="11" t="s">
        <v>498</v>
      </c>
      <c r="E6" s="11" t="s">
        <v>499</v>
      </c>
      <c r="F6" s="11" t="s">
        <v>500</v>
      </c>
      <c r="G6" s="11" t="s">
        <v>501</v>
      </c>
    </row>
    <row r="7" customFormat="false" ht="15" hidden="false" customHeight="false" outlineLevel="0" collapsed="false">
      <c r="A7" s="11" t="s">
        <v>362</v>
      </c>
      <c r="B7" s="11" t="s">
        <v>502</v>
      </c>
      <c r="C7" s="11" t="s">
        <v>503</v>
      </c>
      <c r="D7" s="11" t="s">
        <v>504</v>
      </c>
      <c r="E7" s="11" t="s">
        <v>505</v>
      </c>
      <c r="F7" s="11" t="s">
        <v>506</v>
      </c>
      <c r="G7" s="11" t="s">
        <v>507</v>
      </c>
    </row>
    <row r="8" customFormat="false" ht="15" hidden="false" customHeight="false" outlineLevel="0" collapsed="false">
      <c r="A8" s="11" t="s">
        <v>401</v>
      </c>
      <c r="B8" s="11" t="s">
        <v>508</v>
      </c>
      <c r="C8" s="11" t="s">
        <v>509</v>
      </c>
      <c r="D8" s="11" t="s">
        <v>510</v>
      </c>
      <c r="E8" s="11" t="s">
        <v>511</v>
      </c>
      <c r="F8" s="11" t="s">
        <v>512</v>
      </c>
      <c r="G8" s="11" t="s">
        <v>513</v>
      </c>
    </row>
    <row r="9" customFormat="false" ht="15" hidden="false" customHeight="false" outlineLevel="0" collapsed="false">
      <c r="A9" s="11" t="s">
        <v>514</v>
      </c>
      <c r="B9" s="11" t="s">
        <v>515</v>
      </c>
      <c r="C9" s="11" t="s">
        <v>516</v>
      </c>
      <c r="D9" s="11" t="s">
        <v>516</v>
      </c>
      <c r="E9" s="11" t="s">
        <v>517</v>
      </c>
      <c r="F9" s="11" t="s">
        <v>518</v>
      </c>
      <c r="G9" s="11" t="s">
        <v>507</v>
      </c>
    </row>
    <row r="10" customFormat="false" ht="15" hidden="false" customHeight="false" outlineLevel="0" collapsed="false">
      <c r="A10" s="11" t="s">
        <v>388</v>
      </c>
      <c r="B10" s="11" t="s">
        <v>519</v>
      </c>
      <c r="C10" s="11" t="s">
        <v>520</v>
      </c>
      <c r="D10" s="11" t="s">
        <v>521</v>
      </c>
      <c r="E10" s="11" t="s">
        <v>522</v>
      </c>
      <c r="F10" s="11" t="s">
        <v>523</v>
      </c>
      <c r="G10" s="11" t="s">
        <v>524</v>
      </c>
    </row>
    <row r="11" customFormat="false" ht="15" hidden="false" customHeight="false" outlineLevel="0" collapsed="false">
      <c r="A11" s="11" t="s">
        <v>391</v>
      </c>
      <c r="B11" s="11" t="s">
        <v>525</v>
      </c>
      <c r="C11" s="11" t="s">
        <v>526</v>
      </c>
      <c r="D11" s="11" t="s">
        <v>527</v>
      </c>
      <c r="E11" s="11" t="s">
        <v>522</v>
      </c>
      <c r="F11" s="11" t="s">
        <v>528</v>
      </c>
      <c r="G11" s="11" t="s">
        <v>524</v>
      </c>
    </row>
    <row r="12" customFormat="false" ht="15" hidden="false" customHeight="false" outlineLevel="0" collapsed="false">
      <c r="A12" s="11" t="s">
        <v>353</v>
      </c>
      <c r="B12" s="11" t="s">
        <v>529</v>
      </c>
      <c r="C12" s="11" t="s">
        <v>530</v>
      </c>
      <c r="D12" s="11" t="s">
        <v>531</v>
      </c>
      <c r="E12" s="11" t="s">
        <v>522</v>
      </c>
      <c r="F12" s="11" t="s">
        <v>532</v>
      </c>
      <c r="G12" s="11" t="s">
        <v>533</v>
      </c>
    </row>
    <row r="13" customFormat="false" ht="15" hidden="false" customHeight="false" outlineLevel="0" collapsed="false">
      <c r="A13" s="11" t="s">
        <v>427</v>
      </c>
      <c r="B13" s="11" t="s">
        <v>534</v>
      </c>
      <c r="C13" s="11" t="s">
        <v>535</v>
      </c>
      <c r="D13" s="11" t="s">
        <v>536</v>
      </c>
      <c r="E13" s="11" t="s">
        <v>537</v>
      </c>
      <c r="F13" s="11" t="s">
        <v>176</v>
      </c>
      <c r="G13" s="11" t="s">
        <v>507</v>
      </c>
    </row>
    <row r="14" customFormat="false" ht="15" hidden="false" customHeight="false" outlineLevel="0" collapsed="false">
      <c r="A14" s="11" t="s">
        <v>473</v>
      </c>
      <c r="B14" s="11" t="s">
        <v>538</v>
      </c>
      <c r="C14" s="11" t="s">
        <v>176</v>
      </c>
      <c r="D14" s="11" t="s">
        <v>539</v>
      </c>
      <c r="E14" s="11" t="s">
        <v>540</v>
      </c>
      <c r="F14" s="11" t="s">
        <v>176</v>
      </c>
      <c r="G14" s="11" t="s">
        <v>492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7" min="6" style="0" width="24"/>
    <col collapsed="false" customWidth="true" hidden="false" outlineLevel="0" max="8" min="8" style="0" width="20"/>
    <col collapsed="false" customWidth="true" hidden="false" outlineLevel="0" max="10" min="9" style="0" width="22"/>
    <col collapsed="false" customWidth="true" hidden="false" outlineLevel="0" max="11" min="11" style="0" width="20"/>
    <col collapsed="false" customWidth="true" hidden="false" outlineLevel="0" max="12" min="12" style="0" width="14"/>
    <col collapsed="false" customWidth="true" hidden="false" outlineLevel="0" max="13" min="13" style="0" width="42"/>
    <col collapsed="false" customWidth="true" hidden="false" outlineLevel="0" max="14" min="14" style="0" width="36"/>
  </cols>
  <sheetData>
    <row r="1" customFormat="false" ht="17.35" hidden="false" customHeight="false" outlineLevel="0" collapsed="false">
      <c r="A1" s="9" t="s">
        <v>541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customFormat="false" ht="17.35" hidden="false" customHeight="false" outlineLevel="0" collapsed="false">
      <c r="A2" s="10" t="s">
        <v>542</v>
      </c>
      <c r="B2" s="10" t="s">
        <v>260</v>
      </c>
      <c r="C2" s="10" t="s">
        <v>44</v>
      </c>
      <c r="D2" s="10" t="s">
        <v>49</v>
      </c>
      <c r="E2" s="10" t="s">
        <v>54</v>
      </c>
      <c r="F2" s="10" t="s">
        <v>306</v>
      </c>
      <c r="G2" s="10" t="s">
        <v>307</v>
      </c>
      <c r="H2" s="10" t="s">
        <v>543</v>
      </c>
      <c r="I2" s="10" t="s">
        <v>544</v>
      </c>
      <c r="J2" s="10" t="s">
        <v>545</v>
      </c>
      <c r="K2" s="10" t="s">
        <v>546</v>
      </c>
      <c r="L2" s="10" t="s">
        <v>547</v>
      </c>
      <c r="M2" s="10" t="s">
        <v>187</v>
      </c>
      <c r="N2" s="10" t="s">
        <v>43</v>
      </c>
    </row>
    <row r="3" customFormat="false" ht="15" hidden="false" customHeight="false" outlineLevel="0" collapsed="false">
      <c r="A3" s="12" t="s">
        <v>548</v>
      </c>
      <c r="B3" s="12" t="s">
        <v>549</v>
      </c>
      <c r="C3" s="12" t="s">
        <v>550</v>
      </c>
      <c r="D3" s="12" t="s">
        <v>190</v>
      </c>
      <c r="E3" s="12" t="s">
        <v>551</v>
      </c>
      <c r="F3" s="12" t="s">
        <v>552</v>
      </c>
      <c r="G3" s="12" t="s">
        <v>312</v>
      </c>
      <c r="H3" s="12" t="s">
        <v>553</v>
      </c>
      <c r="I3" s="12" t="s">
        <v>554</v>
      </c>
      <c r="J3" s="12" t="s">
        <v>555</v>
      </c>
      <c r="K3" s="12" t="s">
        <v>556</v>
      </c>
      <c r="L3" s="12" t="s">
        <v>176</v>
      </c>
      <c r="M3" s="12" t="s">
        <v>192</v>
      </c>
      <c r="N3" s="12"/>
    </row>
    <row r="4" customFormat="false" ht="23.85" hidden="false" customHeight="false" outlineLevel="0" collapsed="false">
      <c r="A4" s="12" t="s">
        <v>557</v>
      </c>
      <c r="B4" s="12" t="s">
        <v>558</v>
      </c>
      <c r="C4" s="12" t="s">
        <v>137</v>
      </c>
      <c r="D4" s="12" t="s">
        <v>559</v>
      </c>
      <c r="E4" s="12" t="s">
        <v>278</v>
      </c>
      <c r="F4" s="12" t="s">
        <v>176</v>
      </c>
      <c r="G4" s="12" t="s">
        <v>312</v>
      </c>
      <c r="H4" s="12" t="s">
        <v>560</v>
      </c>
      <c r="I4" s="12" t="s">
        <v>233</v>
      </c>
      <c r="J4" s="12" t="s">
        <v>561</v>
      </c>
      <c r="K4" s="12" t="s">
        <v>562</v>
      </c>
      <c r="L4" s="12" t="s">
        <v>176</v>
      </c>
      <c r="M4" s="12" t="s">
        <v>563</v>
      </c>
      <c r="N4" s="12" t="s">
        <v>564</v>
      </c>
    </row>
    <row r="5" customFormat="false" ht="15" hidden="false" customHeight="false" outlineLevel="0" collapsed="false">
      <c r="A5" s="12" t="s">
        <v>565</v>
      </c>
      <c r="B5" s="12" t="s">
        <v>566</v>
      </c>
      <c r="C5" s="12" t="s">
        <v>142</v>
      </c>
      <c r="D5" s="12" t="s">
        <v>201</v>
      </c>
      <c r="E5" s="12" t="s">
        <v>567</v>
      </c>
      <c r="F5" s="12" t="s">
        <v>321</v>
      </c>
      <c r="G5" s="12" t="s">
        <v>312</v>
      </c>
      <c r="H5" s="12" t="s">
        <v>568</v>
      </c>
      <c r="I5" s="12" t="s">
        <v>569</v>
      </c>
      <c r="J5" s="12" t="s">
        <v>561</v>
      </c>
      <c r="K5" s="12" t="s">
        <v>570</v>
      </c>
      <c r="L5" s="12" t="s">
        <v>176</v>
      </c>
      <c r="M5" s="12" t="s">
        <v>571</v>
      </c>
      <c r="N5" s="12" t="s">
        <v>572</v>
      </c>
    </row>
    <row r="6" customFormat="false" ht="15" hidden="false" customHeight="false" outlineLevel="0" collapsed="false">
      <c r="A6" s="12" t="s">
        <v>573</v>
      </c>
      <c r="B6" s="12" t="s">
        <v>574</v>
      </c>
      <c r="C6" s="12" t="s">
        <v>137</v>
      </c>
      <c r="D6" s="12" t="s">
        <v>196</v>
      </c>
      <c r="E6" s="12" t="s">
        <v>267</v>
      </c>
      <c r="F6" s="12" t="s">
        <v>321</v>
      </c>
      <c r="G6" s="12" t="s">
        <v>312</v>
      </c>
      <c r="H6" s="12" t="s">
        <v>176</v>
      </c>
      <c r="I6" s="12" t="s">
        <v>575</v>
      </c>
      <c r="J6" s="12" t="s">
        <v>555</v>
      </c>
      <c r="K6" s="12" t="s">
        <v>576</v>
      </c>
      <c r="L6" s="12" t="s">
        <v>176</v>
      </c>
      <c r="M6" s="12" t="s">
        <v>192</v>
      </c>
      <c r="N6" s="12" t="s">
        <v>325</v>
      </c>
    </row>
    <row r="7" customFormat="false" ht="15" hidden="false" customHeight="false" outlineLevel="0" collapsed="false">
      <c r="A7" s="12" t="s">
        <v>577</v>
      </c>
      <c r="B7" s="12" t="s">
        <v>578</v>
      </c>
      <c r="C7" s="12" t="s">
        <v>142</v>
      </c>
      <c r="D7" s="12" t="s">
        <v>206</v>
      </c>
      <c r="E7" s="12" t="s">
        <v>579</v>
      </c>
      <c r="F7" s="12" t="s">
        <v>321</v>
      </c>
      <c r="G7" s="12" t="s">
        <v>312</v>
      </c>
      <c r="H7" s="12" t="s">
        <v>580</v>
      </c>
      <c r="I7" s="12" t="s">
        <v>581</v>
      </c>
      <c r="J7" s="12" t="s">
        <v>561</v>
      </c>
      <c r="K7" s="12" t="s">
        <v>582</v>
      </c>
      <c r="L7" s="12" t="s">
        <v>176</v>
      </c>
      <c r="M7" s="12" t="s">
        <v>192</v>
      </c>
      <c r="N7" s="12"/>
    </row>
    <row r="8" customFormat="false" ht="15" hidden="false" customHeight="false" outlineLevel="0" collapsed="false">
      <c r="A8" s="12" t="s">
        <v>583</v>
      </c>
      <c r="B8" s="12" t="s">
        <v>584</v>
      </c>
      <c r="C8" s="12" t="s">
        <v>142</v>
      </c>
      <c r="D8" s="12" t="s">
        <v>206</v>
      </c>
      <c r="E8" s="12" t="s">
        <v>275</v>
      </c>
      <c r="F8" s="12" t="s">
        <v>585</v>
      </c>
      <c r="G8" s="12" t="s">
        <v>585</v>
      </c>
      <c r="H8" s="12" t="s">
        <v>580</v>
      </c>
      <c r="I8" s="12" t="s">
        <v>586</v>
      </c>
      <c r="J8" s="12" t="s">
        <v>587</v>
      </c>
      <c r="K8" s="12" t="s">
        <v>588</v>
      </c>
      <c r="L8" s="12" t="s">
        <v>176</v>
      </c>
      <c r="M8" s="12" t="s">
        <v>192</v>
      </c>
      <c r="N8" s="12" t="s">
        <v>348</v>
      </c>
    </row>
    <row r="9" customFormat="false" ht="15" hidden="false" customHeight="false" outlineLevel="0" collapsed="false">
      <c r="A9" s="12" t="s">
        <v>589</v>
      </c>
      <c r="B9" s="12" t="s">
        <v>590</v>
      </c>
      <c r="C9" s="12" t="s">
        <v>137</v>
      </c>
      <c r="D9" s="12" t="s">
        <v>216</v>
      </c>
      <c r="E9" s="12" t="s">
        <v>263</v>
      </c>
      <c r="F9" s="12" t="s">
        <v>321</v>
      </c>
      <c r="G9" s="12" t="s">
        <v>591</v>
      </c>
      <c r="H9" s="12" t="s">
        <v>568</v>
      </c>
      <c r="I9" s="12" t="s">
        <v>592</v>
      </c>
      <c r="J9" s="12" t="s">
        <v>555</v>
      </c>
      <c r="K9" s="12" t="s">
        <v>593</v>
      </c>
      <c r="L9" s="12" t="s">
        <v>176</v>
      </c>
      <c r="M9" s="12" t="s">
        <v>192</v>
      </c>
      <c r="N9" s="12"/>
    </row>
    <row r="10" customFormat="false" ht="15" hidden="false" customHeight="false" outlineLevel="0" collapsed="false">
      <c r="A10" s="12" t="s">
        <v>594</v>
      </c>
      <c r="B10" s="12" t="s">
        <v>595</v>
      </c>
      <c r="C10" s="12" t="s">
        <v>137</v>
      </c>
      <c r="D10" s="12" t="s">
        <v>216</v>
      </c>
      <c r="E10" s="12" t="s">
        <v>263</v>
      </c>
      <c r="F10" s="12" t="s">
        <v>361</v>
      </c>
      <c r="G10" s="12" t="s">
        <v>362</v>
      </c>
      <c r="H10" s="12" t="s">
        <v>596</v>
      </c>
      <c r="I10" s="12" t="s">
        <v>597</v>
      </c>
      <c r="J10" s="12" t="s">
        <v>598</v>
      </c>
      <c r="K10" s="12" t="s">
        <v>599</v>
      </c>
      <c r="L10" s="12" t="s">
        <v>176</v>
      </c>
      <c r="M10" s="12" t="s">
        <v>600</v>
      </c>
      <c r="N10" s="12"/>
    </row>
    <row r="11" customFormat="false" ht="15" hidden="false" customHeight="false" outlineLevel="0" collapsed="false">
      <c r="A11" s="12" t="s">
        <v>601</v>
      </c>
      <c r="B11" s="12" t="s">
        <v>212</v>
      </c>
      <c r="C11" s="12" t="s">
        <v>132</v>
      </c>
      <c r="D11" s="12" t="s">
        <v>211</v>
      </c>
      <c r="E11" s="12" t="s">
        <v>602</v>
      </c>
      <c r="F11" s="12" t="s">
        <v>372</v>
      </c>
      <c r="G11" s="12" t="s">
        <v>373</v>
      </c>
      <c r="H11" s="12" t="s">
        <v>603</v>
      </c>
      <c r="I11" s="12" t="s">
        <v>604</v>
      </c>
      <c r="J11" s="12" t="s">
        <v>605</v>
      </c>
      <c r="K11" s="12" t="s">
        <v>606</v>
      </c>
      <c r="L11" s="12" t="s">
        <v>176</v>
      </c>
      <c r="M11" s="12" t="s">
        <v>192</v>
      </c>
      <c r="N11" s="12"/>
    </row>
    <row r="12" customFormat="false" ht="15" hidden="false" customHeight="false" outlineLevel="0" collapsed="false">
      <c r="A12" s="12" t="s">
        <v>607</v>
      </c>
      <c r="B12" s="12" t="s">
        <v>608</v>
      </c>
      <c r="C12" s="12" t="s">
        <v>157</v>
      </c>
      <c r="D12" s="12" t="s">
        <v>161</v>
      </c>
      <c r="E12" s="12" t="s">
        <v>579</v>
      </c>
      <c r="F12" s="12" t="s">
        <v>609</v>
      </c>
      <c r="G12" s="12" t="s">
        <v>353</v>
      </c>
      <c r="H12" s="12" t="s">
        <v>522</v>
      </c>
      <c r="I12" s="12" t="s">
        <v>610</v>
      </c>
      <c r="J12" s="12" t="s">
        <v>611</v>
      </c>
      <c r="K12" s="12" t="s">
        <v>612</v>
      </c>
      <c r="L12" s="12" t="s">
        <v>99</v>
      </c>
      <c r="M12" s="12" t="s">
        <v>192</v>
      </c>
      <c r="N12" s="12"/>
    </row>
    <row r="13" customFormat="false" ht="23.85" hidden="false" customHeight="false" outlineLevel="0" collapsed="false">
      <c r="A13" s="12" t="s">
        <v>613</v>
      </c>
      <c r="B13" s="12" t="s">
        <v>614</v>
      </c>
      <c r="C13" s="12" t="s">
        <v>147</v>
      </c>
      <c r="D13" s="12" t="s">
        <v>190</v>
      </c>
      <c r="E13" s="12" t="s">
        <v>263</v>
      </c>
      <c r="F13" s="12" t="s">
        <v>334</v>
      </c>
      <c r="G13" s="12" t="s">
        <v>335</v>
      </c>
      <c r="H13" s="12" t="s">
        <v>615</v>
      </c>
      <c r="I13" s="12" t="s">
        <v>616</v>
      </c>
      <c r="J13" s="12" t="s">
        <v>561</v>
      </c>
      <c r="K13" s="12" t="s">
        <v>617</v>
      </c>
      <c r="L13" s="12" t="s">
        <v>176</v>
      </c>
      <c r="M13" s="12" t="s">
        <v>618</v>
      </c>
      <c r="N13" s="12"/>
    </row>
    <row r="14" customFormat="false" ht="15" hidden="false" customHeight="false" outlineLevel="0" collapsed="false">
      <c r="A14" s="12" t="s">
        <v>619</v>
      </c>
      <c r="B14" s="12" t="s">
        <v>247</v>
      </c>
      <c r="C14" s="12" t="s">
        <v>142</v>
      </c>
      <c r="D14" s="12" t="s">
        <v>246</v>
      </c>
      <c r="E14" s="12" t="s">
        <v>283</v>
      </c>
      <c r="F14" s="12" t="s">
        <v>620</v>
      </c>
      <c r="G14" s="12" t="s">
        <v>455</v>
      </c>
      <c r="H14" s="12" t="s">
        <v>522</v>
      </c>
      <c r="I14" s="12" t="s">
        <v>621</v>
      </c>
      <c r="J14" s="12" t="s">
        <v>528</v>
      </c>
      <c r="K14" s="12" t="s">
        <v>622</v>
      </c>
      <c r="L14" s="12" t="s">
        <v>176</v>
      </c>
      <c r="M14" s="12" t="s">
        <v>192</v>
      </c>
      <c r="N14" s="12" t="s">
        <v>248</v>
      </c>
    </row>
    <row r="15" customFormat="false" ht="15" hidden="false" customHeight="false" outlineLevel="0" collapsed="false">
      <c r="A15" s="12" t="s">
        <v>623</v>
      </c>
      <c r="B15" s="12" t="s">
        <v>252</v>
      </c>
      <c r="C15" s="12" t="s">
        <v>152</v>
      </c>
      <c r="D15" s="12" t="s">
        <v>251</v>
      </c>
      <c r="E15" s="12" t="s">
        <v>287</v>
      </c>
      <c r="F15" s="12" t="s">
        <v>624</v>
      </c>
      <c r="G15" s="12" t="s">
        <v>406</v>
      </c>
      <c r="H15" s="12" t="s">
        <v>517</v>
      </c>
      <c r="I15" s="12" t="s">
        <v>625</v>
      </c>
      <c r="J15" s="12" t="s">
        <v>518</v>
      </c>
      <c r="K15" s="12" t="s">
        <v>626</v>
      </c>
      <c r="L15" s="12" t="s">
        <v>176</v>
      </c>
      <c r="M15" s="12" t="s">
        <v>192</v>
      </c>
      <c r="N15" s="12" t="s">
        <v>253</v>
      </c>
    </row>
    <row r="16" customFormat="false" ht="15" hidden="false" customHeight="false" outlineLevel="0" collapsed="false">
      <c r="A16" s="12" t="s">
        <v>627</v>
      </c>
      <c r="B16" s="12" t="s">
        <v>315</v>
      </c>
      <c r="C16" s="12" t="s">
        <v>137</v>
      </c>
      <c r="D16" s="12" t="s">
        <v>316</v>
      </c>
      <c r="E16" s="12" t="s">
        <v>628</v>
      </c>
      <c r="F16" s="12" t="s">
        <v>552</v>
      </c>
      <c r="G16" s="12" t="s">
        <v>312</v>
      </c>
      <c r="H16" s="12" t="s">
        <v>629</v>
      </c>
      <c r="I16" s="12" t="s">
        <v>630</v>
      </c>
      <c r="J16" s="12" t="s">
        <v>587</v>
      </c>
      <c r="K16" s="12" t="s">
        <v>631</v>
      </c>
      <c r="L16" s="12" t="s">
        <v>176</v>
      </c>
      <c r="M16" s="12" t="s">
        <v>192</v>
      </c>
      <c r="N16" s="12" t="s">
        <v>317</v>
      </c>
    </row>
    <row r="17" customFormat="false" ht="15" hidden="false" customHeight="false" outlineLevel="0" collapsed="false">
      <c r="A17" s="12" t="s">
        <v>632</v>
      </c>
      <c r="B17" s="12" t="s">
        <v>633</v>
      </c>
      <c r="C17" s="12" t="s">
        <v>137</v>
      </c>
      <c r="D17" s="12" t="s">
        <v>634</v>
      </c>
      <c r="E17" s="12" t="s">
        <v>412</v>
      </c>
      <c r="F17" s="12" t="s">
        <v>635</v>
      </c>
      <c r="G17" s="12" t="s">
        <v>636</v>
      </c>
      <c r="H17" s="12" t="s">
        <v>637</v>
      </c>
      <c r="I17" s="12" t="s">
        <v>638</v>
      </c>
      <c r="J17" s="12" t="s">
        <v>587</v>
      </c>
      <c r="K17" s="12" t="s">
        <v>639</v>
      </c>
      <c r="L17" s="12" t="s">
        <v>176</v>
      </c>
      <c r="M17" s="12" t="s">
        <v>192</v>
      </c>
      <c r="N17" s="12" t="s">
        <v>640</v>
      </c>
    </row>
    <row r="18" customFormat="false" ht="15" hidden="false" customHeight="false" outlineLevel="0" collapsed="false">
      <c r="A18" s="12" t="s">
        <v>641</v>
      </c>
      <c r="B18" s="12" t="s">
        <v>642</v>
      </c>
      <c r="C18" s="12" t="s">
        <v>137</v>
      </c>
      <c r="D18" s="12" t="s">
        <v>643</v>
      </c>
      <c r="E18" s="12" t="s">
        <v>263</v>
      </c>
      <c r="F18" s="12" t="s">
        <v>176</v>
      </c>
      <c r="G18" s="12" t="s">
        <v>591</v>
      </c>
      <c r="H18" s="12" t="s">
        <v>644</v>
      </c>
      <c r="I18" s="12" t="s">
        <v>645</v>
      </c>
      <c r="J18" s="12" t="s">
        <v>561</v>
      </c>
      <c r="K18" s="12" t="s">
        <v>176</v>
      </c>
      <c r="L18" s="12" t="s">
        <v>176</v>
      </c>
      <c r="M18" s="12" t="s">
        <v>192</v>
      </c>
      <c r="N18" s="12" t="s">
        <v>646</v>
      </c>
    </row>
    <row r="19" customFormat="false" ht="15" hidden="false" customHeight="false" outlineLevel="0" collapsed="false">
      <c r="A19" s="13" t="s">
        <v>647</v>
      </c>
      <c r="B19" s="13" t="s">
        <v>648</v>
      </c>
      <c r="C19" s="13" t="s">
        <v>157</v>
      </c>
      <c r="D19" s="13" t="s">
        <v>221</v>
      </c>
      <c r="E19" s="13" t="s">
        <v>649</v>
      </c>
      <c r="F19" s="13" t="s">
        <v>650</v>
      </c>
      <c r="G19" s="13" t="s">
        <v>650</v>
      </c>
      <c r="H19" s="13" t="s">
        <v>650</v>
      </c>
      <c r="I19" s="13" t="s">
        <v>650</v>
      </c>
      <c r="J19" s="13" t="s">
        <v>650</v>
      </c>
      <c r="K19" s="13" t="s">
        <v>651</v>
      </c>
      <c r="L19" s="13" t="s">
        <v>176</v>
      </c>
      <c r="M19" s="13" t="s">
        <v>223</v>
      </c>
      <c r="N19" s="13"/>
    </row>
    <row r="20" customFormat="false" ht="15" hidden="false" customHeight="false" outlineLevel="0" collapsed="false">
      <c r="A20" s="13" t="s">
        <v>652</v>
      </c>
      <c r="B20" s="13" t="s">
        <v>226</v>
      </c>
      <c r="C20" s="13" t="s">
        <v>157</v>
      </c>
      <c r="D20" s="13" t="s">
        <v>225</v>
      </c>
      <c r="E20" s="13" t="s">
        <v>653</v>
      </c>
      <c r="F20" s="13" t="s">
        <v>650</v>
      </c>
      <c r="G20" s="13" t="s">
        <v>650</v>
      </c>
      <c r="H20" s="13" t="s">
        <v>176</v>
      </c>
      <c r="I20" s="13" t="s">
        <v>176</v>
      </c>
      <c r="J20" s="13" t="s">
        <v>176</v>
      </c>
      <c r="K20" s="13" t="s">
        <v>654</v>
      </c>
      <c r="L20" s="13" t="s">
        <v>176</v>
      </c>
      <c r="M20" s="13" t="s">
        <v>227</v>
      </c>
      <c r="N20" s="13" t="s">
        <v>655</v>
      </c>
    </row>
    <row r="21" customFormat="false" ht="15" hidden="false" customHeight="false" outlineLevel="0" collapsed="false">
      <c r="A21" s="15" t="s">
        <v>656</v>
      </c>
      <c r="B21" s="15" t="s">
        <v>657</v>
      </c>
      <c r="C21" s="15" t="s">
        <v>147</v>
      </c>
      <c r="D21" s="15" t="s">
        <v>151</v>
      </c>
      <c r="E21" s="15" t="s">
        <v>295</v>
      </c>
      <c r="F21" s="15" t="s">
        <v>658</v>
      </c>
      <c r="G21" s="15" t="s">
        <v>659</v>
      </c>
      <c r="H21" s="15" t="s">
        <v>540</v>
      </c>
      <c r="I21" s="15" t="s">
        <v>660</v>
      </c>
      <c r="J21" s="15" t="s">
        <v>661</v>
      </c>
      <c r="K21" s="15" t="s">
        <v>662</v>
      </c>
      <c r="L21" s="15" t="s">
        <v>176</v>
      </c>
      <c r="M21" s="15" t="s">
        <v>298</v>
      </c>
      <c r="N21" s="15" t="s">
        <v>663</v>
      </c>
    </row>
    <row r="22" customFormat="false" ht="15" hidden="false" customHeight="false" outlineLevel="0" collapsed="false">
      <c r="A22" s="15" t="s">
        <v>664</v>
      </c>
      <c r="B22" s="15" t="s">
        <v>665</v>
      </c>
      <c r="C22" s="15" t="s">
        <v>147</v>
      </c>
      <c r="D22" s="15" t="s">
        <v>151</v>
      </c>
      <c r="E22" s="15" t="s">
        <v>295</v>
      </c>
      <c r="F22" s="15" t="s">
        <v>635</v>
      </c>
      <c r="G22" s="15" t="s">
        <v>666</v>
      </c>
      <c r="H22" s="15" t="s">
        <v>667</v>
      </c>
      <c r="I22" s="15" t="s">
        <v>668</v>
      </c>
      <c r="J22" s="15" t="s">
        <v>176</v>
      </c>
      <c r="K22" s="15" t="s">
        <v>669</v>
      </c>
      <c r="L22" s="15" t="s">
        <v>176</v>
      </c>
      <c r="M22" s="15" t="s">
        <v>298</v>
      </c>
      <c r="N22" s="15" t="s">
        <v>670</v>
      </c>
    </row>
    <row r="23" customFormat="false" ht="15" hidden="false" customHeight="false" outlineLevel="0" collapsed="false">
      <c r="A23" s="15" t="s">
        <v>671</v>
      </c>
      <c r="B23" s="15" t="s">
        <v>672</v>
      </c>
      <c r="C23" s="15" t="s">
        <v>147</v>
      </c>
      <c r="D23" s="15" t="s">
        <v>673</v>
      </c>
      <c r="E23" s="15" t="s">
        <v>674</v>
      </c>
      <c r="F23" s="15" t="s">
        <v>675</v>
      </c>
      <c r="G23" s="15" t="s">
        <v>676</v>
      </c>
      <c r="H23" s="15" t="s">
        <v>517</v>
      </c>
      <c r="I23" s="15" t="s">
        <v>677</v>
      </c>
      <c r="J23" s="15" t="s">
        <v>678</v>
      </c>
      <c r="K23" s="15" t="s">
        <v>679</v>
      </c>
      <c r="L23" s="15" t="s">
        <v>680</v>
      </c>
      <c r="M23" s="15" t="s">
        <v>681</v>
      </c>
      <c r="N23" s="15"/>
    </row>
    <row r="24" customFormat="false" ht="15" hidden="false" customHeight="false" outlineLevel="0" collapsed="false">
      <c r="A24" s="13" t="s">
        <v>682</v>
      </c>
      <c r="B24" s="13" t="s">
        <v>683</v>
      </c>
      <c r="C24" s="13" t="s">
        <v>684</v>
      </c>
      <c r="D24" s="13" t="s">
        <v>425</v>
      </c>
      <c r="E24" s="13" t="s">
        <v>299</v>
      </c>
      <c r="F24" s="13" t="s">
        <v>685</v>
      </c>
      <c r="G24" s="13" t="s">
        <v>427</v>
      </c>
      <c r="H24" s="13" t="s">
        <v>686</v>
      </c>
      <c r="I24" s="13" t="s">
        <v>687</v>
      </c>
      <c r="J24" s="13" t="s">
        <v>176</v>
      </c>
      <c r="K24" s="13" t="s">
        <v>688</v>
      </c>
      <c r="L24" s="13" t="s">
        <v>176</v>
      </c>
      <c r="M24" s="13" t="s">
        <v>302</v>
      </c>
      <c r="N24" s="13" t="s">
        <v>468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6"/>
    <col collapsed="false" customWidth="true" hidden="false" outlineLevel="0" max="3" min="3" style="0" width="32"/>
    <col collapsed="false" customWidth="true" hidden="false" outlineLevel="0" max="5" min="4" style="0" width="34"/>
  </cols>
  <sheetData>
    <row r="1" customFormat="false" ht="17.35" hidden="false" customHeight="false" outlineLevel="0" collapsed="false">
      <c r="A1" s="9" t="s">
        <v>689</v>
      </c>
      <c r="B1" s="9"/>
      <c r="C1" s="9"/>
      <c r="D1" s="9"/>
      <c r="E1" s="9"/>
    </row>
    <row r="2" customFormat="false" ht="17.35" hidden="false" customHeight="false" outlineLevel="0" collapsed="false">
      <c r="A2" s="10" t="s">
        <v>690</v>
      </c>
      <c r="B2" s="10" t="s">
        <v>260</v>
      </c>
      <c r="C2" s="10" t="s">
        <v>691</v>
      </c>
      <c r="D2" s="10" t="s">
        <v>692</v>
      </c>
      <c r="E2" s="10" t="s">
        <v>187</v>
      </c>
    </row>
    <row r="3" customFormat="false" ht="15" hidden="false" customHeight="false" outlineLevel="0" collapsed="false">
      <c r="A3" s="12" t="s">
        <v>554</v>
      </c>
      <c r="B3" s="12" t="s">
        <v>693</v>
      </c>
      <c r="C3" s="12" t="s">
        <v>694</v>
      </c>
      <c r="D3" s="12" t="s">
        <v>695</v>
      </c>
      <c r="E3" s="12" t="s">
        <v>192</v>
      </c>
    </row>
    <row r="4" customFormat="false" ht="15" hidden="false" customHeight="false" outlineLevel="0" collapsed="false">
      <c r="A4" s="12" t="s">
        <v>233</v>
      </c>
      <c r="B4" s="12" t="s">
        <v>696</v>
      </c>
      <c r="C4" s="12" t="s">
        <v>697</v>
      </c>
      <c r="D4" s="12" t="s">
        <v>698</v>
      </c>
      <c r="E4" s="12" t="s">
        <v>192</v>
      </c>
    </row>
    <row r="5" customFormat="false" ht="15" hidden="false" customHeight="false" outlineLevel="0" collapsed="false">
      <c r="A5" s="12" t="s">
        <v>569</v>
      </c>
      <c r="B5" s="12" t="s">
        <v>699</v>
      </c>
      <c r="C5" s="12" t="s">
        <v>700</v>
      </c>
      <c r="D5" s="12" t="s">
        <v>701</v>
      </c>
      <c r="E5" s="12" t="s">
        <v>192</v>
      </c>
    </row>
    <row r="6" customFormat="false" ht="15" hidden="false" customHeight="false" outlineLevel="0" collapsed="false">
      <c r="A6" s="12" t="s">
        <v>575</v>
      </c>
      <c r="B6" s="12" t="s">
        <v>702</v>
      </c>
      <c r="C6" s="12" t="s">
        <v>703</v>
      </c>
      <c r="D6" s="12" t="s">
        <v>695</v>
      </c>
      <c r="E6" s="12" t="s">
        <v>192</v>
      </c>
    </row>
    <row r="7" customFormat="false" ht="15" hidden="false" customHeight="false" outlineLevel="0" collapsed="false">
      <c r="A7" s="12" t="s">
        <v>581</v>
      </c>
      <c r="B7" s="12" t="s">
        <v>704</v>
      </c>
      <c r="C7" s="12" t="s">
        <v>705</v>
      </c>
      <c r="D7" s="12" t="s">
        <v>706</v>
      </c>
      <c r="E7" s="12" t="s">
        <v>192</v>
      </c>
    </row>
    <row r="8" customFormat="false" ht="15" hidden="false" customHeight="false" outlineLevel="0" collapsed="false">
      <c r="A8" s="12" t="s">
        <v>586</v>
      </c>
      <c r="B8" s="12" t="s">
        <v>707</v>
      </c>
      <c r="C8" s="12" t="s">
        <v>708</v>
      </c>
      <c r="D8" s="12" t="s">
        <v>709</v>
      </c>
      <c r="E8" s="12" t="s">
        <v>192</v>
      </c>
    </row>
    <row r="9" customFormat="false" ht="15" hidden="false" customHeight="false" outlineLevel="0" collapsed="false">
      <c r="A9" s="12" t="s">
        <v>592</v>
      </c>
      <c r="B9" s="12" t="s">
        <v>710</v>
      </c>
      <c r="C9" s="12" t="s">
        <v>711</v>
      </c>
      <c r="D9" s="12" t="s">
        <v>712</v>
      </c>
      <c r="E9" s="12" t="s">
        <v>192</v>
      </c>
    </row>
    <row r="10" customFormat="false" ht="15" hidden="false" customHeight="false" outlineLevel="0" collapsed="false">
      <c r="A10" s="12" t="s">
        <v>713</v>
      </c>
      <c r="B10" s="12" t="s">
        <v>714</v>
      </c>
      <c r="C10" s="12" t="s">
        <v>715</v>
      </c>
      <c r="D10" s="12" t="s">
        <v>716</v>
      </c>
      <c r="E10" s="12" t="s">
        <v>192</v>
      </c>
    </row>
    <row r="11" customFormat="false" ht="15" hidden="false" customHeight="false" outlineLevel="0" collapsed="false">
      <c r="A11" s="12" t="s">
        <v>717</v>
      </c>
      <c r="B11" s="12" t="s">
        <v>718</v>
      </c>
      <c r="C11" s="12" t="s">
        <v>719</v>
      </c>
      <c r="D11" s="12" t="s">
        <v>695</v>
      </c>
      <c r="E11" s="12" t="s">
        <v>192</v>
      </c>
    </row>
    <row r="12" customFormat="false" ht="15" hidden="false" customHeight="false" outlineLevel="0" collapsed="false">
      <c r="A12" s="12" t="s">
        <v>720</v>
      </c>
      <c r="B12" s="12" t="s">
        <v>721</v>
      </c>
      <c r="C12" s="12" t="s">
        <v>722</v>
      </c>
      <c r="D12" s="12" t="s">
        <v>695</v>
      </c>
      <c r="E12" s="12" t="s">
        <v>192</v>
      </c>
    </row>
    <row r="13" customFormat="false" ht="15" hidden="false" customHeight="false" outlineLevel="0" collapsed="false">
      <c r="A13" s="12" t="s">
        <v>616</v>
      </c>
      <c r="B13" s="12" t="s">
        <v>723</v>
      </c>
      <c r="C13" s="12" t="s">
        <v>694</v>
      </c>
      <c r="D13" s="12" t="s">
        <v>706</v>
      </c>
      <c r="E13" s="12" t="s">
        <v>192</v>
      </c>
    </row>
    <row r="14" customFormat="false" ht="15" hidden="false" customHeight="false" outlineLevel="0" collapsed="false">
      <c r="A14" s="12" t="s">
        <v>724</v>
      </c>
      <c r="B14" s="12" t="s">
        <v>725</v>
      </c>
      <c r="C14" s="12" t="s">
        <v>726</v>
      </c>
      <c r="D14" s="12" t="s">
        <v>695</v>
      </c>
      <c r="E14" s="12" t="s">
        <v>192</v>
      </c>
    </row>
    <row r="15" customFormat="false" ht="15" hidden="false" customHeight="false" outlineLevel="0" collapsed="false">
      <c r="A15" s="12" t="s">
        <v>727</v>
      </c>
      <c r="B15" s="12" t="s">
        <v>728</v>
      </c>
      <c r="C15" s="12" t="s">
        <v>729</v>
      </c>
      <c r="D15" s="12" t="s">
        <v>695</v>
      </c>
      <c r="E15" s="12" t="s">
        <v>192</v>
      </c>
    </row>
    <row r="16" customFormat="false" ht="15" hidden="false" customHeight="false" outlineLevel="0" collapsed="false">
      <c r="A16" s="12" t="s">
        <v>730</v>
      </c>
      <c r="B16" s="12" t="s">
        <v>731</v>
      </c>
      <c r="C16" s="12" t="s">
        <v>732</v>
      </c>
      <c r="D16" s="12" t="s">
        <v>695</v>
      </c>
      <c r="E16" s="12" t="s">
        <v>192</v>
      </c>
    </row>
    <row r="17" customFormat="false" ht="15" hidden="false" customHeight="false" outlineLevel="0" collapsed="false">
      <c r="A17" s="12" t="s">
        <v>638</v>
      </c>
      <c r="B17" s="12" t="s">
        <v>733</v>
      </c>
      <c r="C17" s="12" t="s">
        <v>734</v>
      </c>
      <c r="D17" s="12" t="s">
        <v>706</v>
      </c>
      <c r="E17" s="12" t="s">
        <v>192</v>
      </c>
    </row>
    <row r="18" customFormat="false" ht="15" hidden="false" customHeight="false" outlineLevel="0" collapsed="false">
      <c r="A18" s="12" t="s">
        <v>735</v>
      </c>
      <c r="B18" s="12" t="s">
        <v>642</v>
      </c>
      <c r="C18" s="12" t="s">
        <v>736</v>
      </c>
      <c r="D18" s="12" t="s">
        <v>709</v>
      </c>
      <c r="E18" s="12" t="s">
        <v>192</v>
      </c>
    </row>
    <row r="19" customFormat="false" ht="15" hidden="false" customHeight="false" outlineLevel="0" collapsed="false">
      <c r="A19" s="13" t="s">
        <v>737</v>
      </c>
      <c r="B19" s="13" t="s">
        <v>738</v>
      </c>
      <c r="C19" s="13" t="s">
        <v>176</v>
      </c>
      <c r="D19" s="13" t="s">
        <v>176</v>
      </c>
      <c r="E19" s="13" t="s">
        <v>739</v>
      </c>
    </row>
    <row r="20" customFormat="false" ht="15" hidden="false" customHeight="false" outlineLevel="0" collapsed="false">
      <c r="A20" s="15" t="s">
        <v>740</v>
      </c>
      <c r="B20" s="15" t="s">
        <v>741</v>
      </c>
      <c r="C20" s="15" t="s">
        <v>742</v>
      </c>
      <c r="D20" s="15" t="s">
        <v>743</v>
      </c>
      <c r="E20" s="15" t="s">
        <v>298</v>
      </c>
    </row>
    <row r="21" customFormat="false" ht="15" hidden="false" customHeight="false" outlineLevel="0" collapsed="false">
      <c r="A21" s="15" t="s">
        <v>744</v>
      </c>
      <c r="B21" s="15" t="s">
        <v>745</v>
      </c>
      <c r="C21" s="15" t="s">
        <v>746</v>
      </c>
      <c r="D21" s="15" t="s">
        <v>743</v>
      </c>
      <c r="E21" s="15" t="s">
        <v>298</v>
      </c>
    </row>
    <row r="22" customFormat="false" ht="15" hidden="false" customHeight="false" outlineLevel="0" collapsed="false">
      <c r="A22" s="15" t="s">
        <v>747</v>
      </c>
      <c r="B22" s="15" t="s">
        <v>748</v>
      </c>
      <c r="C22" s="15" t="s">
        <v>749</v>
      </c>
      <c r="D22" s="15" t="s">
        <v>743</v>
      </c>
      <c r="E22" s="15" t="s">
        <v>298</v>
      </c>
    </row>
    <row r="23" customFormat="false" ht="15" hidden="false" customHeight="false" outlineLevel="0" collapsed="false">
      <c r="A23" s="15" t="s">
        <v>750</v>
      </c>
      <c r="B23" s="15" t="s">
        <v>751</v>
      </c>
      <c r="C23" s="15" t="s">
        <v>752</v>
      </c>
      <c r="D23" s="15" t="s">
        <v>743</v>
      </c>
      <c r="E23" s="15" t="s">
        <v>298</v>
      </c>
    </row>
    <row r="24" customFormat="false" ht="15" hidden="false" customHeight="false" outlineLevel="0" collapsed="false">
      <c r="A24" s="15" t="s">
        <v>753</v>
      </c>
      <c r="B24" s="15" t="s">
        <v>754</v>
      </c>
      <c r="C24" s="15" t="s">
        <v>755</v>
      </c>
      <c r="D24" s="15" t="s">
        <v>756</v>
      </c>
      <c r="E24" s="15" t="s">
        <v>298</v>
      </c>
    </row>
    <row r="25" customFormat="false" ht="15" hidden="false" customHeight="false" outlineLevel="0" collapsed="false">
      <c r="A25" s="15" t="s">
        <v>757</v>
      </c>
      <c r="B25" s="15" t="s">
        <v>758</v>
      </c>
      <c r="C25" s="15" t="s">
        <v>759</v>
      </c>
      <c r="D25" s="15" t="s">
        <v>760</v>
      </c>
      <c r="E25" s="15" t="s">
        <v>298</v>
      </c>
    </row>
    <row r="26" customFormat="false" ht="15" hidden="false" customHeight="false" outlineLevel="0" collapsed="false">
      <c r="A26" s="15" t="s">
        <v>761</v>
      </c>
      <c r="B26" s="15" t="s">
        <v>762</v>
      </c>
      <c r="C26" s="15" t="s">
        <v>763</v>
      </c>
      <c r="D26" s="15" t="s">
        <v>764</v>
      </c>
      <c r="E26" s="15" t="s">
        <v>298</v>
      </c>
    </row>
    <row r="27" customFormat="false" ht="15" hidden="false" customHeight="false" outlineLevel="0" collapsed="false">
      <c r="A27" s="15" t="s">
        <v>765</v>
      </c>
      <c r="B27" s="15" t="s">
        <v>766</v>
      </c>
      <c r="C27" s="15" t="s">
        <v>767</v>
      </c>
      <c r="D27" s="15" t="s">
        <v>768</v>
      </c>
      <c r="E27" s="15" t="s">
        <v>298</v>
      </c>
    </row>
    <row r="28" customFormat="false" ht="15" hidden="false" customHeight="false" outlineLevel="0" collapsed="false">
      <c r="A28" s="15" t="s">
        <v>769</v>
      </c>
      <c r="B28" s="15" t="s">
        <v>770</v>
      </c>
      <c r="C28" s="15" t="s">
        <v>771</v>
      </c>
      <c r="D28" s="15" t="s">
        <v>768</v>
      </c>
      <c r="E28" s="15" t="s">
        <v>298</v>
      </c>
    </row>
    <row r="29" customFormat="false" ht="15" hidden="false" customHeight="false" outlineLevel="0" collapsed="false">
      <c r="A29" s="15" t="s">
        <v>772</v>
      </c>
      <c r="B29" s="15" t="s">
        <v>773</v>
      </c>
      <c r="C29" s="15" t="s">
        <v>774</v>
      </c>
      <c r="D29" s="15" t="s">
        <v>756</v>
      </c>
      <c r="E29" s="15" t="s">
        <v>681</v>
      </c>
    </row>
    <row r="30" customFormat="false" ht="15" hidden="false" customHeight="false" outlineLevel="0" collapsed="false">
      <c r="A30" s="15" t="s">
        <v>775</v>
      </c>
      <c r="B30" s="15" t="s">
        <v>776</v>
      </c>
      <c r="C30" s="15" t="s">
        <v>777</v>
      </c>
      <c r="D30" s="15" t="s">
        <v>778</v>
      </c>
      <c r="E30" s="15" t="s">
        <v>779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32"/>
    <col collapsed="false" customWidth="true" hidden="false" outlineLevel="0" max="4" min="4" style="0" width="28"/>
    <col collapsed="false" customWidth="true" hidden="false" outlineLevel="0" max="5" min="5" style="0" width="62"/>
  </cols>
  <sheetData>
    <row r="1" customFormat="false" ht="17.35" hidden="false" customHeight="false" outlineLevel="0" collapsed="false">
      <c r="A1" s="9" t="s">
        <v>780</v>
      </c>
      <c r="B1" s="9"/>
      <c r="C1" s="9"/>
      <c r="D1" s="9"/>
      <c r="E1" s="9"/>
    </row>
    <row r="2" customFormat="false" ht="17.35" hidden="false" customHeight="false" outlineLevel="0" collapsed="false">
      <c r="A2" s="10" t="s">
        <v>545</v>
      </c>
      <c r="B2" s="10" t="s">
        <v>781</v>
      </c>
      <c r="C2" s="10" t="s">
        <v>782</v>
      </c>
      <c r="D2" s="10" t="s">
        <v>783</v>
      </c>
      <c r="E2" s="10" t="s">
        <v>784</v>
      </c>
    </row>
    <row r="3" customFormat="false" ht="15" hidden="false" customHeight="false" outlineLevel="0" collapsed="false">
      <c r="A3" s="11" t="s">
        <v>555</v>
      </c>
      <c r="B3" s="11" t="s">
        <v>785</v>
      </c>
      <c r="C3" s="11" t="s">
        <v>786</v>
      </c>
      <c r="D3" s="11" t="s">
        <v>312</v>
      </c>
      <c r="E3" s="11" t="s">
        <v>787</v>
      </c>
    </row>
    <row r="4" customFormat="false" ht="15" hidden="false" customHeight="false" outlineLevel="0" collapsed="false">
      <c r="A4" s="11" t="s">
        <v>605</v>
      </c>
      <c r="B4" s="11" t="s">
        <v>788</v>
      </c>
      <c r="C4" s="11" t="s">
        <v>789</v>
      </c>
      <c r="D4" s="11" t="s">
        <v>373</v>
      </c>
      <c r="E4" s="11" t="s">
        <v>790</v>
      </c>
    </row>
    <row r="5" customFormat="false" ht="15" hidden="false" customHeight="false" outlineLevel="0" collapsed="false">
      <c r="A5" s="11" t="s">
        <v>598</v>
      </c>
      <c r="B5" s="11" t="s">
        <v>791</v>
      </c>
      <c r="C5" s="11" t="s">
        <v>792</v>
      </c>
      <c r="D5" s="11" t="s">
        <v>362</v>
      </c>
      <c r="E5" s="11" t="s">
        <v>793</v>
      </c>
    </row>
    <row r="6" customFormat="false" ht="15" hidden="false" customHeight="false" outlineLevel="0" collapsed="false">
      <c r="A6" s="11" t="s">
        <v>518</v>
      </c>
      <c r="B6" s="11" t="s">
        <v>510</v>
      </c>
      <c r="C6" s="11" t="s">
        <v>794</v>
      </c>
      <c r="D6" s="11" t="s">
        <v>401</v>
      </c>
      <c r="E6" s="11" t="s">
        <v>795</v>
      </c>
    </row>
    <row r="7" customFormat="false" ht="15" hidden="false" customHeight="false" outlineLevel="0" collapsed="false">
      <c r="A7" s="11" t="s">
        <v>528</v>
      </c>
      <c r="B7" s="11" t="s">
        <v>521</v>
      </c>
      <c r="C7" s="11" t="s">
        <v>796</v>
      </c>
      <c r="D7" s="11" t="s">
        <v>455</v>
      </c>
      <c r="E7" s="11" t="s">
        <v>797</v>
      </c>
    </row>
    <row r="8" customFormat="false" ht="15" hidden="false" customHeight="false" outlineLevel="0" collapsed="false">
      <c r="A8" s="11" t="s">
        <v>611</v>
      </c>
      <c r="B8" s="11" t="s">
        <v>798</v>
      </c>
      <c r="C8" s="11" t="s">
        <v>799</v>
      </c>
      <c r="D8" s="11" t="s">
        <v>353</v>
      </c>
      <c r="E8" s="11" t="s">
        <v>800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4"/>
    <col collapsed="false" customWidth="true" hidden="false" outlineLevel="0" max="3" min="3" style="0" width="16"/>
    <col collapsed="false" customWidth="true" hidden="false" outlineLevel="0" max="4" min="4" style="0" width="10"/>
  </cols>
  <sheetData>
    <row r="1" customFormat="false" ht="17.35" hidden="false" customHeight="false" outlineLevel="0" collapsed="false">
      <c r="A1" s="9" t="s">
        <v>801</v>
      </c>
      <c r="B1" s="9"/>
      <c r="C1" s="9"/>
      <c r="D1" s="9"/>
    </row>
    <row r="2" customFormat="false" ht="17.35" hidden="false" customHeight="false" outlineLevel="0" collapsed="false">
      <c r="A2" s="10" t="s">
        <v>546</v>
      </c>
      <c r="B2" s="10" t="s">
        <v>802</v>
      </c>
      <c r="C2" s="10" t="s">
        <v>803</v>
      </c>
      <c r="D2" s="10" t="s">
        <v>804</v>
      </c>
    </row>
    <row r="3" customFormat="false" ht="15" hidden="false" customHeight="false" outlineLevel="0" collapsed="false">
      <c r="A3" s="11" t="s">
        <v>805</v>
      </c>
      <c r="B3" s="11" t="s">
        <v>806</v>
      </c>
      <c r="C3" s="11" t="s">
        <v>548</v>
      </c>
      <c r="D3" s="11" t="s">
        <v>807</v>
      </c>
    </row>
    <row r="4" customFormat="false" ht="15" hidden="false" customHeight="false" outlineLevel="0" collapsed="false">
      <c r="A4" s="11" t="s">
        <v>808</v>
      </c>
      <c r="B4" s="11" t="s">
        <v>809</v>
      </c>
      <c r="C4" s="11" t="s">
        <v>548</v>
      </c>
      <c r="D4" s="11" t="s">
        <v>807</v>
      </c>
    </row>
    <row r="5" customFormat="false" ht="15" hidden="false" customHeight="false" outlineLevel="0" collapsed="false">
      <c r="A5" s="11" t="s">
        <v>593</v>
      </c>
      <c r="B5" s="11" t="s">
        <v>810</v>
      </c>
      <c r="C5" s="11" t="s">
        <v>589</v>
      </c>
      <c r="D5" s="11" t="s">
        <v>807</v>
      </c>
    </row>
    <row r="6" customFormat="false" ht="15" hidden="false" customHeight="false" outlineLevel="0" collapsed="false">
      <c r="A6" s="11" t="s">
        <v>606</v>
      </c>
      <c r="B6" s="11" t="s">
        <v>811</v>
      </c>
      <c r="C6" s="11" t="s">
        <v>601</v>
      </c>
      <c r="D6" s="11" t="s">
        <v>812</v>
      </c>
    </row>
    <row r="7" customFormat="false" ht="15" hidden="false" customHeight="false" outlineLevel="0" collapsed="false">
      <c r="A7" s="11" t="s">
        <v>813</v>
      </c>
      <c r="B7" s="11" t="s">
        <v>814</v>
      </c>
      <c r="C7" s="11" t="s">
        <v>623</v>
      </c>
      <c r="D7" s="11" t="s">
        <v>812</v>
      </c>
    </row>
    <row r="8" customFormat="false" ht="15" hidden="false" customHeight="false" outlineLevel="0" collapsed="false">
      <c r="A8" s="11" t="s">
        <v>815</v>
      </c>
      <c r="B8" s="11" t="s">
        <v>816</v>
      </c>
      <c r="C8" s="11" t="s">
        <v>623</v>
      </c>
      <c r="D8" s="11" t="s">
        <v>812</v>
      </c>
    </row>
    <row r="9" customFormat="false" ht="15" hidden="false" customHeight="false" outlineLevel="0" collapsed="false">
      <c r="A9" s="11" t="s">
        <v>651</v>
      </c>
      <c r="B9" s="11" t="s">
        <v>817</v>
      </c>
      <c r="C9" s="11" t="s">
        <v>647</v>
      </c>
      <c r="D9" s="11" t="s">
        <v>807</v>
      </c>
    </row>
    <row r="10" customFormat="false" ht="15" hidden="false" customHeight="false" outlineLevel="0" collapsed="false">
      <c r="A10" s="11" t="s">
        <v>654</v>
      </c>
      <c r="B10" s="11" t="s">
        <v>818</v>
      </c>
      <c r="C10" s="11" t="s">
        <v>652</v>
      </c>
      <c r="D10" s="11" t="s">
        <v>819</v>
      </c>
    </row>
    <row r="11" customFormat="false" ht="15" hidden="false" customHeight="false" outlineLevel="0" collapsed="false">
      <c r="A11" s="11" t="s">
        <v>562</v>
      </c>
      <c r="B11" s="11" t="s">
        <v>820</v>
      </c>
      <c r="C11" s="11" t="s">
        <v>557</v>
      </c>
      <c r="D11" s="11" t="s">
        <v>807</v>
      </c>
    </row>
    <row r="12" customFormat="false" ht="15" hidden="false" customHeight="false" outlineLevel="0" collapsed="false">
      <c r="A12" s="11" t="s">
        <v>612</v>
      </c>
      <c r="B12" s="11" t="s">
        <v>821</v>
      </c>
      <c r="C12" s="11" t="s">
        <v>607</v>
      </c>
      <c r="D12" s="11" t="s">
        <v>807</v>
      </c>
    </row>
    <row r="13" customFormat="false" ht="15" hidden="false" customHeight="false" outlineLevel="0" collapsed="false">
      <c r="A13" s="11" t="s">
        <v>599</v>
      </c>
      <c r="B13" s="11" t="s">
        <v>822</v>
      </c>
      <c r="C13" s="11" t="s">
        <v>594</v>
      </c>
      <c r="D13" s="11" t="s">
        <v>812</v>
      </c>
    </row>
    <row r="14" customFormat="false" ht="15" hidden="false" customHeight="false" outlineLevel="0" collapsed="false">
      <c r="A14" s="11" t="s">
        <v>570</v>
      </c>
      <c r="B14" s="11" t="s">
        <v>823</v>
      </c>
      <c r="C14" s="11" t="s">
        <v>565</v>
      </c>
      <c r="D14" s="11" t="s">
        <v>812</v>
      </c>
    </row>
    <row r="15" customFormat="false" ht="15" hidden="false" customHeight="false" outlineLevel="0" collapsed="false">
      <c r="A15" s="11" t="s">
        <v>576</v>
      </c>
      <c r="B15" s="11" t="s">
        <v>824</v>
      </c>
      <c r="C15" s="11" t="s">
        <v>573</v>
      </c>
      <c r="D15" s="11" t="s">
        <v>812</v>
      </c>
    </row>
    <row r="16" customFormat="false" ht="15" hidden="false" customHeight="false" outlineLevel="0" collapsed="false">
      <c r="A16" s="11" t="s">
        <v>582</v>
      </c>
      <c r="B16" s="11" t="s">
        <v>825</v>
      </c>
      <c r="C16" s="11" t="s">
        <v>577</v>
      </c>
      <c r="D16" s="11" t="s">
        <v>807</v>
      </c>
    </row>
    <row r="17" customFormat="false" ht="15" hidden="false" customHeight="false" outlineLevel="0" collapsed="false">
      <c r="A17" s="11" t="s">
        <v>588</v>
      </c>
      <c r="B17" s="11" t="s">
        <v>826</v>
      </c>
      <c r="C17" s="11" t="s">
        <v>583</v>
      </c>
      <c r="D17" s="11" t="s">
        <v>812</v>
      </c>
    </row>
    <row r="18" customFormat="false" ht="15" hidden="false" customHeight="false" outlineLevel="0" collapsed="false">
      <c r="A18" s="11" t="s">
        <v>617</v>
      </c>
      <c r="B18" s="11" t="s">
        <v>827</v>
      </c>
      <c r="C18" s="11" t="s">
        <v>613</v>
      </c>
      <c r="D18" s="11" t="s">
        <v>807</v>
      </c>
    </row>
    <row r="19" customFormat="false" ht="15" hidden="false" customHeight="false" outlineLevel="0" collapsed="false">
      <c r="A19" s="11" t="s">
        <v>622</v>
      </c>
      <c r="B19" s="11" t="s">
        <v>828</v>
      </c>
      <c r="C19" s="11" t="s">
        <v>619</v>
      </c>
      <c r="D19" s="11" t="s">
        <v>807</v>
      </c>
    </row>
    <row r="20" customFormat="false" ht="15" hidden="false" customHeight="false" outlineLevel="0" collapsed="false">
      <c r="A20" s="11" t="s">
        <v>829</v>
      </c>
      <c r="B20" s="11" t="s">
        <v>830</v>
      </c>
      <c r="C20" s="11" t="s">
        <v>623</v>
      </c>
      <c r="D20" s="11" t="s">
        <v>807</v>
      </c>
    </row>
    <row r="21" customFormat="false" ht="15" hidden="false" customHeight="false" outlineLevel="0" collapsed="false">
      <c r="A21" s="11" t="s">
        <v>831</v>
      </c>
      <c r="B21" s="11" t="s">
        <v>832</v>
      </c>
      <c r="C21" s="11" t="s">
        <v>627</v>
      </c>
      <c r="D21" s="11" t="s">
        <v>812</v>
      </c>
    </row>
    <row r="22" customFormat="false" ht="15" hidden="false" customHeight="false" outlineLevel="0" collapsed="false">
      <c r="A22" s="11" t="s">
        <v>833</v>
      </c>
      <c r="B22" s="11" t="s">
        <v>834</v>
      </c>
      <c r="C22" s="11" t="s">
        <v>627</v>
      </c>
      <c r="D22" s="11" t="s">
        <v>812</v>
      </c>
    </row>
    <row r="23" customFormat="false" ht="15" hidden="false" customHeight="false" outlineLevel="0" collapsed="false">
      <c r="A23" s="11" t="s">
        <v>639</v>
      </c>
      <c r="B23" s="11" t="s">
        <v>835</v>
      </c>
      <c r="C23" s="11" t="s">
        <v>632</v>
      </c>
      <c r="D23" s="11" t="s">
        <v>812</v>
      </c>
    </row>
    <row r="24" customFormat="false" ht="15" hidden="false" customHeight="false" outlineLevel="0" collapsed="false">
      <c r="A24" s="11" t="s">
        <v>836</v>
      </c>
      <c r="B24" s="11" t="s">
        <v>837</v>
      </c>
      <c r="C24" s="11" t="s">
        <v>656</v>
      </c>
      <c r="D24" s="11" t="s">
        <v>838</v>
      </c>
    </row>
    <row r="25" customFormat="false" ht="15" hidden="false" customHeight="false" outlineLevel="0" collapsed="false">
      <c r="A25" s="11" t="s">
        <v>839</v>
      </c>
      <c r="B25" s="11" t="s">
        <v>840</v>
      </c>
      <c r="C25" s="11" t="s">
        <v>656</v>
      </c>
      <c r="D25" s="11" t="s">
        <v>838</v>
      </c>
    </row>
    <row r="26" customFormat="false" ht="15" hidden="false" customHeight="false" outlineLevel="0" collapsed="false">
      <c r="A26" s="11" t="s">
        <v>841</v>
      </c>
      <c r="B26" s="11" t="s">
        <v>842</v>
      </c>
      <c r="C26" s="11" t="s">
        <v>656</v>
      </c>
      <c r="D26" s="11" t="s">
        <v>838</v>
      </c>
    </row>
    <row r="27" customFormat="false" ht="15" hidden="false" customHeight="false" outlineLevel="0" collapsed="false">
      <c r="A27" s="11" t="s">
        <v>843</v>
      </c>
      <c r="B27" s="11" t="s">
        <v>844</v>
      </c>
      <c r="C27" s="11" t="s">
        <v>664</v>
      </c>
      <c r="D27" s="11" t="s">
        <v>838</v>
      </c>
    </row>
    <row r="28" customFormat="false" ht="15" hidden="false" customHeight="false" outlineLevel="0" collapsed="false">
      <c r="A28" s="11" t="s">
        <v>845</v>
      </c>
      <c r="B28" s="11" t="s">
        <v>846</v>
      </c>
      <c r="C28" s="11" t="s">
        <v>664</v>
      </c>
      <c r="D28" s="11" t="s">
        <v>838</v>
      </c>
    </row>
    <row r="29" customFormat="false" ht="15" hidden="false" customHeight="false" outlineLevel="0" collapsed="false">
      <c r="A29" s="11" t="s">
        <v>847</v>
      </c>
      <c r="B29" s="11" t="s">
        <v>848</v>
      </c>
      <c r="C29" s="11" t="s">
        <v>671</v>
      </c>
      <c r="D29" s="11" t="s">
        <v>849</v>
      </c>
    </row>
    <row r="30" customFormat="false" ht="15" hidden="false" customHeight="false" outlineLevel="0" collapsed="false">
      <c r="A30" s="11" t="s">
        <v>850</v>
      </c>
      <c r="B30" s="11" t="s">
        <v>851</v>
      </c>
      <c r="C30" s="11" t="s">
        <v>671</v>
      </c>
      <c r="D30" s="11" t="s">
        <v>852</v>
      </c>
    </row>
    <row r="31" customFormat="false" ht="15" hidden="false" customHeight="false" outlineLevel="0" collapsed="false">
      <c r="A31" s="11" t="s">
        <v>853</v>
      </c>
      <c r="B31" s="11" t="s">
        <v>854</v>
      </c>
      <c r="C31" s="11" t="s">
        <v>671</v>
      </c>
      <c r="D31" s="11" t="s">
        <v>855</v>
      </c>
    </row>
    <row r="32" customFormat="false" ht="15" hidden="false" customHeight="false" outlineLevel="0" collapsed="false">
      <c r="A32" s="11" t="s">
        <v>856</v>
      </c>
      <c r="B32" s="11" t="s">
        <v>857</v>
      </c>
      <c r="C32" s="11" t="s">
        <v>682</v>
      </c>
      <c r="D32" s="11" t="s">
        <v>812</v>
      </c>
    </row>
    <row r="33" customFormat="false" ht="15" hidden="false" customHeight="false" outlineLevel="0" collapsed="false">
      <c r="A33" s="11" t="s">
        <v>858</v>
      </c>
      <c r="B33" s="11" t="s">
        <v>859</v>
      </c>
      <c r="C33" s="11" t="s">
        <v>682</v>
      </c>
      <c r="D33" s="11" t="s">
        <v>812</v>
      </c>
    </row>
    <row r="34" customFormat="false" ht="15" hidden="false" customHeight="false" outlineLevel="0" collapsed="false">
      <c r="A34" s="11" t="s">
        <v>860</v>
      </c>
      <c r="B34" s="11" t="s">
        <v>861</v>
      </c>
      <c r="C34" s="11" t="s">
        <v>682</v>
      </c>
      <c r="D34" s="11" t="s">
        <v>862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4"/>
    <col collapsed="false" customWidth="true" hidden="false" outlineLevel="0" max="4" min="3" style="0" width="8"/>
    <col collapsed="false" customWidth="true" hidden="false" outlineLevel="0" max="5" min="5" style="0" width="10"/>
    <col collapsed="false" customWidth="true" hidden="false" outlineLevel="0" max="6" min="6" style="0" width="60"/>
    <col collapsed="false" customWidth="true" hidden="false" outlineLevel="0" max="7" min="7" style="0" width="22"/>
  </cols>
  <sheetData>
    <row r="1" customFormat="false" ht="17.35" hidden="false" customHeight="false" outlineLevel="0" collapsed="false">
      <c r="A1" s="9" t="s">
        <v>863</v>
      </c>
      <c r="B1" s="9"/>
      <c r="C1" s="9"/>
      <c r="D1" s="9"/>
      <c r="E1" s="9"/>
      <c r="F1" s="9"/>
      <c r="G1" s="9"/>
    </row>
    <row r="2" customFormat="false" ht="32.8" hidden="false" customHeight="false" outlineLevel="0" collapsed="false">
      <c r="A2" s="10" t="s">
        <v>127</v>
      </c>
      <c r="B2" s="10" t="s">
        <v>864</v>
      </c>
      <c r="C2" s="10" t="s">
        <v>865</v>
      </c>
      <c r="D2" s="10" t="s">
        <v>866</v>
      </c>
      <c r="E2" s="10" t="s">
        <v>867</v>
      </c>
      <c r="F2" s="10" t="s">
        <v>868</v>
      </c>
      <c r="G2" s="10" t="s">
        <v>869</v>
      </c>
    </row>
    <row r="3" customFormat="false" ht="23.85" hidden="false" customHeight="false" outlineLevel="0" collapsed="false">
      <c r="A3" s="11" t="s">
        <v>870</v>
      </c>
      <c r="B3" s="11" t="s">
        <v>871</v>
      </c>
      <c r="C3" s="11" t="n">
        <v>3</v>
      </c>
      <c r="D3" s="11" t="n">
        <v>4</v>
      </c>
      <c r="E3" s="11" t="n">
        <f aca="false">C3*D3</f>
        <v>12</v>
      </c>
      <c r="F3" s="11" t="s">
        <v>872</v>
      </c>
      <c r="G3" s="11" t="s">
        <v>873</v>
      </c>
    </row>
    <row r="4" customFormat="false" ht="15" hidden="false" customHeight="false" outlineLevel="0" collapsed="false">
      <c r="A4" s="11" t="s">
        <v>874</v>
      </c>
      <c r="B4" s="11" t="s">
        <v>875</v>
      </c>
      <c r="C4" s="11" t="n">
        <v>2</v>
      </c>
      <c r="D4" s="11" t="n">
        <v>5</v>
      </c>
      <c r="E4" s="11" t="n">
        <f aca="false">C4*D4</f>
        <v>10</v>
      </c>
      <c r="F4" s="11" t="s">
        <v>876</v>
      </c>
      <c r="G4" s="11" t="s">
        <v>877</v>
      </c>
    </row>
    <row r="5" customFormat="false" ht="15" hidden="false" customHeight="false" outlineLevel="0" collapsed="false">
      <c r="A5" s="11" t="s">
        <v>878</v>
      </c>
      <c r="B5" s="11" t="s">
        <v>879</v>
      </c>
      <c r="C5" s="11" t="n">
        <v>2</v>
      </c>
      <c r="D5" s="11" t="n">
        <v>5</v>
      </c>
      <c r="E5" s="11" t="n">
        <f aca="false">C5*D5</f>
        <v>10</v>
      </c>
      <c r="F5" s="11" t="s">
        <v>880</v>
      </c>
      <c r="G5" s="11" t="s">
        <v>881</v>
      </c>
    </row>
    <row r="6" customFormat="false" ht="15" hidden="false" customHeight="false" outlineLevel="0" collapsed="false">
      <c r="A6" s="11" t="s">
        <v>882</v>
      </c>
      <c r="B6" s="11" t="s">
        <v>883</v>
      </c>
      <c r="C6" s="11" t="n">
        <v>2</v>
      </c>
      <c r="D6" s="11" t="n">
        <v>4</v>
      </c>
      <c r="E6" s="11" t="n">
        <f aca="false">C6*D6</f>
        <v>8</v>
      </c>
      <c r="F6" s="11" t="s">
        <v>884</v>
      </c>
      <c r="G6" s="11" t="s">
        <v>885</v>
      </c>
    </row>
    <row r="7" customFormat="false" ht="23.85" hidden="false" customHeight="false" outlineLevel="0" collapsed="false">
      <c r="A7" s="11" t="s">
        <v>886</v>
      </c>
      <c r="B7" s="11" t="s">
        <v>887</v>
      </c>
      <c r="C7" s="11" t="n">
        <v>2</v>
      </c>
      <c r="D7" s="11" t="n">
        <v>3</v>
      </c>
      <c r="E7" s="11" t="n">
        <f aca="false">C7*D7</f>
        <v>6</v>
      </c>
      <c r="F7" s="11" t="s">
        <v>888</v>
      </c>
      <c r="G7" s="11" t="s">
        <v>889</v>
      </c>
    </row>
    <row r="8" customFormat="false" ht="15" hidden="false" customHeight="false" outlineLevel="0" collapsed="false">
      <c r="A8" s="11" t="s">
        <v>890</v>
      </c>
      <c r="B8" s="11" t="s">
        <v>891</v>
      </c>
      <c r="C8" s="11" t="n">
        <v>2</v>
      </c>
      <c r="D8" s="11" t="n">
        <v>4</v>
      </c>
      <c r="E8" s="11" t="n">
        <f aca="false">C8*D8</f>
        <v>8</v>
      </c>
      <c r="F8" s="11" t="s">
        <v>892</v>
      </c>
      <c r="G8" s="11" t="s">
        <v>881</v>
      </c>
    </row>
    <row r="9" customFormat="false" ht="15" hidden="false" customHeight="false" outlineLevel="0" collapsed="false">
      <c r="A9" s="11" t="s">
        <v>893</v>
      </c>
      <c r="B9" s="11" t="s">
        <v>894</v>
      </c>
      <c r="C9" s="11" t="n">
        <v>3</v>
      </c>
      <c r="D9" s="11" t="n">
        <v>4</v>
      </c>
      <c r="E9" s="11" t="n">
        <f aca="false">C9*D9</f>
        <v>12</v>
      </c>
      <c r="F9" s="11" t="s">
        <v>895</v>
      </c>
      <c r="G9" s="11" t="s">
        <v>896</v>
      </c>
    </row>
    <row r="10" customFormat="false" ht="23.85" hidden="false" customHeight="false" outlineLevel="0" collapsed="false">
      <c r="A10" s="11" t="s">
        <v>897</v>
      </c>
      <c r="B10" s="11" t="s">
        <v>898</v>
      </c>
      <c r="C10" s="11" t="n">
        <v>2</v>
      </c>
      <c r="D10" s="11" t="n">
        <v>4</v>
      </c>
      <c r="E10" s="11" t="n">
        <f aca="false">C10*D10</f>
        <v>8</v>
      </c>
      <c r="F10" s="11" t="s">
        <v>899</v>
      </c>
      <c r="G10" s="11" t="s">
        <v>900</v>
      </c>
    </row>
    <row r="11" customFormat="false" ht="23.85" hidden="false" customHeight="false" outlineLevel="0" collapsed="false">
      <c r="A11" s="11" t="s">
        <v>901</v>
      </c>
      <c r="B11" s="11" t="s">
        <v>902</v>
      </c>
      <c r="C11" s="11" t="n">
        <v>3</v>
      </c>
      <c r="D11" s="11" t="n">
        <v>3</v>
      </c>
      <c r="E11" s="11" t="n">
        <f aca="false">C11*D11</f>
        <v>9</v>
      </c>
      <c r="F11" s="11" t="s">
        <v>903</v>
      </c>
      <c r="G11" s="11" t="s">
        <v>904</v>
      </c>
    </row>
    <row r="12" customFormat="false" ht="23.85" hidden="false" customHeight="false" outlineLevel="0" collapsed="false">
      <c r="A12" s="11" t="s">
        <v>905</v>
      </c>
      <c r="B12" s="11" t="s">
        <v>906</v>
      </c>
      <c r="C12" s="11" t="n">
        <v>3</v>
      </c>
      <c r="D12" s="11" t="n">
        <v>2</v>
      </c>
      <c r="E12" s="11" t="n">
        <f aca="false">C12*D12</f>
        <v>6</v>
      </c>
      <c r="F12" s="11" t="s">
        <v>907</v>
      </c>
      <c r="G12" s="11" t="s">
        <v>885</v>
      </c>
    </row>
    <row r="13" customFormat="false" ht="23.85" hidden="false" customHeight="false" outlineLevel="0" collapsed="false">
      <c r="A13" s="11" t="s">
        <v>908</v>
      </c>
      <c r="B13" s="11" t="s">
        <v>909</v>
      </c>
      <c r="C13" s="11" t="n">
        <v>3</v>
      </c>
      <c r="D13" s="11" t="n">
        <v>4</v>
      </c>
      <c r="E13" s="11" t="n">
        <f aca="false">C13*D13</f>
        <v>12</v>
      </c>
      <c r="F13" s="11" t="s">
        <v>910</v>
      </c>
      <c r="G13" s="11" t="s">
        <v>911</v>
      </c>
    </row>
    <row r="14" customFormat="false" ht="23.85" hidden="false" customHeight="false" outlineLevel="0" collapsed="false">
      <c r="A14" s="11" t="s">
        <v>912</v>
      </c>
      <c r="B14" s="11" t="s">
        <v>913</v>
      </c>
      <c r="C14" s="11" t="n">
        <v>4</v>
      </c>
      <c r="D14" s="11" t="n">
        <v>3</v>
      </c>
      <c r="E14" s="11" t="n">
        <f aca="false">C14*D14</f>
        <v>12</v>
      </c>
      <c r="F14" s="11" t="s">
        <v>914</v>
      </c>
      <c r="G14" s="11" t="s">
        <v>915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110"/>
  </cols>
  <sheetData>
    <row r="1" customFormat="false" ht="17.35" hidden="false" customHeight="false" outlineLevel="0" collapsed="false">
      <c r="A1" s="9" t="s">
        <v>37</v>
      </c>
      <c r="B1" s="9"/>
      <c r="C1" s="9"/>
    </row>
    <row r="2" customFormat="false" ht="17.35" hidden="false" customHeight="false" outlineLevel="0" collapsed="false">
      <c r="A2" s="10" t="s">
        <v>916</v>
      </c>
      <c r="B2" s="10" t="s">
        <v>917</v>
      </c>
      <c r="C2" s="10" t="s">
        <v>918</v>
      </c>
    </row>
    <row r="3" customFormat="false" ht="46.25" hidden="false" customHeight="false" outlineLevel="0" collapsed="false">
      <c r="A3" s="11" t="s">
        <v>919</v>
      </c>
      <c r="B3" s="11" t="s">
        <v>920</v>
      </c>
      <c r="C3" s="11" t="s">
        <v>921</v>
      </c>
    </row>
    <row r="4" customFormat="false" ht="23.85" hidden="false" customHeight="false" outlineLevel="0" collapsed="false">
      <c r="A4" s="11" t="s">
        <v>922</v>
      </c>
      <c r="B4" s="11" t="s">
        <v>923</v>
      </c>
      <c r="C4" s="11" t="s">
        <v>924</v>
      </c>
    </row>
    <row r="5" customFormat="false" ht="15" hidden="false" customHeight="false" outlineLevel="0" collapsed="false">
      <c r="A5" s="11" t="s">
        <v>925</v>
      </c>
      <c r="B5" s="11" t="s">
        <v>926</v>
      </c>
      <c r="C5" s="11" t="s">
        <v>927</v>
      </c>
    </row>
    <row r="6" customFormat="false" ht="15" hidden="false" customHeight="false" outlineLevel="0" collapsed="false">
      <c r="A6" s="11" t="s">
        <v>928</v>
      </c>
      <c r="B6" s="11" t="s">
        <v>929</v>
      </c>
      <c r="C6" s="11" t="s">
        <v>930</v>
      </c>
    </row>
    <row r="7" customFormat="false" ht="15" hidden="false" customHeight="false" outlineLevel="0" collapsed="false">
      <c r="A7" s="11" t="s">
        <v>931</v>
      </c>
      <c r="B7" s="11" t="s">
        <v>929</v>
      </c>
      <c r="C7" s="11" t="s">
        <v>932</v>
      </c>
    </row>
    <row r="8" customFormat="false" ht="15" hidden="false" customHeight="false" outlineLevel="0" collapsed="false">
      <c r="A8" s="11" t="s">
        <v>933</v>
      </c>
      <c r="B8" s="11" t="s">
        <v>929</v>
      </c>
      <c r="C8" s="11" t="s">
        <v>934</v>
      </c>
    </row>
    <row r="9" customFormat="false" ht="23.85" hidden="false" customHeight="false" outlineLevel="0" collapsed="false">
      <c r="A9" s="11" t="s">
        <v>935</v>
      </c>
      <c r="B9" s="11" t="s">
        <v>936</v>
      </c>
      <c r="C9" s="11" t="s">
        <v>937</v>
      </c>
    </row>
    <row r="10" customFormat="false" ht="15" hidden="false" customHeight="false" outlineLevel="0" collapsed="false">
      <c r="A10" s="11" t="s">
        <v>938</v>
      </c>
      <c r="B10" s="11" t="s">
        <v>939</v>
      </c>
      <c r="C10" s="11" t="s">
        <v>940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2026-05-18T04:49:24Z</dcterms:created>
  <dc:creator>openpyxl</dc:creator>
  <dc:description/>
  <dc:language>en-US</dc:language>
  <cp:lastModifiedBy/>
  <dcterms:modified xsi:type="dcterms:W3CDTF">2026-05-18T04:49:24Z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